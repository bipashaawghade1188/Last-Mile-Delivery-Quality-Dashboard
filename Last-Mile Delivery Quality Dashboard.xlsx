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unal\Downloads\"/>
    </mc:Choice>
  </mc:AlternateContent>
  <xr:revisionPtr revIDLastSave="0" documentId="13_ncr:1_{593CE43C-EECE-430E-B6D9-2982B7FD5008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Sheet3" sheetId="4" r:id="rId1"/>
    <sheet name="Sheet5" sheetId="6" r:id="rId2"/>
    <sheet name="Raw Data" sheetId="1" r:id="rId3"/>
    <sheet name="summary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6" i="3"/>
  <c r="C7" i="3"/>
  <c r="C4" i="3"/>
  <c r="I151" i="1"/>
  <c r="J151" i="1" s="1"/>
  <c r="I150" i="1"/>
  <c r="J150" i="1" s="1"/>
  <c r="I149" i="1"/>
  <c r="J149" i="1" s="1"/>
  <c r="I148" i="1"/>
  <c r="J148" i="1" s="1"/>
  <c r="I147" i="1"/>
  <c r="J147" i="1" s="1"/>
  <c r="J146" i="1"/>
  <c r="I146" i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J138" i="1"/>
  <c r="I138" i="1"/>
  <c r="I137" i="1"/>
  <c r="J137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J130" i="1"/>
  <c r="I130" i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J122" i="1"/>
  <c r="I122" i="1"/>
  <c r="I121" i="1"/>
  <c r="J121" i="1" s="1"/>
  <c r="I120" i="1"/>
  <c r="J120" i="1" s="1"/>
  <c r="I119" i="1"/>
  <c r="J119" i="1" s="1"/>
  <c r="I118" i="1"/>
  <c r="J118" i="1" s="1"/>
  <c r="I117" i="1"/>
  <c r="J117" i="1" s="1"/>
  <c r="I116" i="1"/>
  <c r="J116" i="1" s="1"/>
  <c r="I115" i="1"/>
  <c r="J115" i="1" s="1"/>
  <c r="J114" i="1"/>
  <c r="I114" i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J106" i="1"/>
  <c r="I106" i="1"/>
  <c r="I105" i="1"/>
  <c r="J105" i="1" s="1"/>
  <c r="I104" i="1"/>
  <c r="J104" i="1" s="1"/>
  <c r="I103" i="1"/>
  <c r="J103" i="1" s="1"/>
  <c r="I102" i="1"/>
  <c r="J102" i="1" s="1"/>
  <c r="I101" i="1"/>
  <c r="J101" i="1" s="1"/>
  <c r="I100" i="1"/>
  <c r="J100" i="1" s="1"/>
  <c r="I99" i="1"/>
  <c r="J99" i="1" s="1"/>
  <c r="J98" i="1"/>
  <c r="I98" i="1"/>
  <c r="I97" i="1"/>
  <c r="J97" i="1" s="1"/>
  <c r="I96" i="1"/>
  <c r="J96" i="1" s="1"/>
  <c r="I95" i="1"/>
  <c r="J95" i="1" s="1"/>
  <c r="I94" i="1"/>
  <c r="J94" i="1" s="1"/>
  <c r="I93" i="1"/>
  <c r="J93" i="1" s="1"/>
  <c r="I92" i="1"/>
  <c r="J92" i="1" s="1"/>
  <c r="I91" i="1"/>
  <c r="J91" i="1" s="1"/>
  <c r="J90" i="1"/>
  <c r="I90" i="1"/>
  <c r="I89" i="1"/>
  <c r="J89" i="1" s="1"/>
  <c r="I88" i="1"/>
  <c r="J88" i="1" s="1"/>
  <c r="I87" i="1"/>
  <c r="J87" i="1" s="1"/>
  <c r="I86" i="1"/>
  <c r="J86" i="1" s="1"/>
  <c r="I85" i="1"/>
  <c r="J85" i="1" s="1"/>
  <c r="I84" i="1"/>
  <c r="J84" i="1" s="1"/>
  <c r="I83" i="1"/>
  <c r="J83" i="1" s="1"/>
  <c r="J82" i="1"/>
  <c r="I82" i="1"/>
  <c r="I81" i="1"/>
  <c r="J81" i="1" s="1"/>
  <c r="I80" i="1"/>
  <c r="J80" i="1" s="1"/>
  <c r="I79" i="1"/>
  <c r="J79" i="1" s="1"/>
  <c r="I78" i="1"/>
  <c r="J78" i="1" s="1"/>
  <c r="I77" i="1"/>
  <c r="J77" i="1" s="1"/>
  <c r="I76" i="1"/>
  <c r="J76" i="1" s="1"/>
  <c r="I75" i="1"/>
  <c r="J75" i="1" s="1"/>
  <c r="J74" i="1"/>
  <c r="I74" i="1"/>
  <c r="I73" i="1"/>
  <c r="J73" i="1" s="1"/>
  <c r="I72" i="1"/>
  <c r="J72" i="1" s="1"/>
  <c r="I71" i="1"/>
  <c r="J71" i="1" s="1"/>
  <c r="I70" i="1"/>
  <c r="J70" i="1" s="1"/>
  <c r="I69" i="1"/>
  <c r="J69" i="1" s="1"/>
  <c r="I68" i="1"/>
  <c r="J68" i="1" s="1"/>
  <c r="I67" i="1"/>
  <c r="J67" i="1" s="1"/>
  <c r="J66" i="1"/>
  <c r="I66" i="1"/>
  <c r="I65" i="1"/>
  <c r="J65" i="1" s="1"/>
  <c r="I64" i="1"/>
  <c r="J64" i="1" s="1"/>
  <c r="I63" i="1"/>
  <c r="J63" i="1" s="1"/>
  <c r="I62" i="1"/>
  <c r="J62" i="1" s="1"/>
  <c r="I61" i="1"/>
  <c r="J61" i="1" s="1"/>
  <c r="I60" i="1"/>
  <c r="J60" i="1" s="1"/>
  <c r="I59" i="1"/>
  <c r="J59" i="1" s="1"/>
  <c r="J58" i="1"/>
  <c r="I58" i="1"/>
  <c r="I57" i="1"/>
  <c r="J57" i="1" s="1"/>
  <c r="I56" i="1"/>
  <c r="J56" i="1" s="1"/>
  <c r="I55" i="1"/>
  <c r="J55" i="1" s="1"/>
  <c r="I54" i="1"/>
  <c r="J54" i="1" s="1"/>
  <c r="I53" i="1"/>
  <c r="J53" i="1" s="1"/>
  <c r="I52" i="1"/>
  <c r="J52" i="1" s="1"/>
  <c r="I51" i="1"/>
  <c r="J51" i="1" s="1"/>
  <c r="J50" i="1"/>
  <c r="I50" i="1"/>
  <c r="I49" i="1"/>
  <c r="J49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J42" i="1"/>
  <c r="I42" i="1"/>
  <c r="I41" i="1"/>
  <c r="J41" i="1" s="1"/>
  <c r="I40" i="1"/>
  <c r="J40" i="1" s="1"/>
  <c r="I39" i="1"/>
  <c r="J39" i="1" s="1"/>
  <c r="I38" i="1"/>
  <c r="J38" i="1" s="1"/>
  <c r="I37" i="1"/>
  <c r="J37" i="1" s="1"/>
  <c r="I36" i="1"/>
  <c r="J36" i="1" s="1"/>
  <c r="I35" i="1"/>
  <c r="J35" i="1" s="1"/>
  <c r="J34" i="1"/>
  <c r="I34" i="1"/>
  <c r="I33" i="1"/>
  <c r="J33" i="1" s="1"/>
  <c r="I32" i="1"/>
  <c r="J32" i="1" s="1"/>
  <c r="I31" i="1"/>
  <c r="J31" i="1" s="1"/>
  <c r="I30" i="1"/>
  <c r="J30" i="1" s="1"/>
  <c r="I29" i="1"/>
  <c r="J29" i="1" s="1"/>
  <c r="I28" i="1"/>
  <c r="J28" i="1" s="1"/>
  <c r="I27" i="1"/>
  <c r="J27" i="1" s="1"/>
  <c r="J26" i="1"/>
  <c r="I26" i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  <c r="J18" i="1"/>
  <c r="I18" i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J10" i="1"/>
  <c r="I10" i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J2" i="1"/>
  <c r="F5" i="3" s="1"/>
  <c r="I2" i="1"/>
  <c r="F7" i="3" l="1"/>
  <c r="F6" i="3"/>
  <c r="F4" i="3"/>
  <c r="D5" i="3"/>
  <c r="G5" i="3" s="1"/>
  <c r="D4" i="3"/>
  <c r="G4" i="3" s="1"/>
  <c r="D7" i="3"/>
  <c r="G7" i="3" s="1"/>
  <c r="D6" i="3"/>
  <c r="G6" i="3" s="1"/>
  <c r="E5" i="3" l="1"/>
  <c r="E6" i="3"/>
  <c r="E4" i="3"/>
  <c r="E7" i="3"/>
  <c r="P10" i="1"/>
  <c r="N10" i="1"/>
  <c r="R10" i="1"/>
  <c r="R11" i="1"/>
  <c r="N11" i="1"/>
  <c r="P11" i="1"/>
  <c r="Q9" i="1"/>
  <c r="O10" i="1"/>
  <c r="Q11" i="1"/>
  <c r="Q12" i="1"/>
  <c r="Q10" i="1"/>
  <c r="O12" i="1"/>
  <c r="O11" i="1"/>
  <c r="R9" i="1"/>
  <c r="O9" i="1"/>
  <c r="P9" i="1"/>
  <c r="R12" i="1"/>
  <c r="N9" i="1"/>
  <c r="N12" i="1"/>
  <c r="P12" i="1"/>
</calcChain>
</file>

<file path=xl/sharedStrings.xml><?xml version="1.0" encoding="utf-8"?>
<sst xmlns="http://schemas.openxmlformats.org/spreadsheetml/2006/main" count="843" uniqueCount="211">
  <si>
    <t>Order ID</t>
  </si>
  <si>
    <t>ASIN</t>
  </si>
  <si>
    <t>Region</t>
  </si>
  <si>
    <t>Courier</t>
  </si>
  <si>
    <t>Order Date</t>
  </si>
  <si>
    <t>Promised Delivery Date</t>
  </si>
  <si>
    <t>Actual Delivery Date</t>
  </si>
  <si>
    <t>Delay Reason</t>
  </si>
  <si>
    <t>Delay (Days)</t>
  </si>
  <si>
    <t>Delivery Status</t>
  </si>
  <si>
    <t>ORD-10001</t>
  </si>
  <si>
    <t>B0011XZ11</t>
  </si>
  <si>
    <t>South</t>
  </si>
  <si>
    <t>Courier B</t>
  </si>
  <si>
    <t>None</t>
  </si>
  <si>
    <t>ORD-10002</t>
  </si>
  <si>
    <t>B0012XZ12</t>
  </si>
  <si>
    <t>North</t>
  </si>
  <si>
    <t>Courier C</t>
  </si>
  <si>
    <t>Weather</t>
  </si>
  <si>
    <t>ORD-10003</t>
  </si>
  <si>
    <t>B0008XZ08</t>
  </si>
  <si>
    <t>ORD-10004</t>
  </si>
  <si>
    <t>ORD-10005</t>
  </si>
  <si>
    <t>B0018XZ18</t>
  </si>
  <si>
    <t>ORD-10006</t>
  </si>
  <si>
    <t>Courier A</t>
  </si>
  <si>
    <t>ORD-10007</t>
  </si>
  <si>
    <t>B0004XZ04</t>
  </si>
  <si>
    <t>Warehouse Delay</t>
  </si>
  <si>
    <t>ORD-10008</t>
  </si>
  <si>
    <t>B0025XZ25</t>
  </si>
  <si>
    <t>East</t>
  </si>
  <si>
    <t>ORD-10009</t>
  </si>
  <si>
    <t>B0026XZ26</t>
  </si>
  <si>
    <t>ORD-10010</t>
  </si>
  <si>
    <t>B0029XZ29</t>
  </si>
  <si>
    <t>ORD-10011</t>
  </si>
  <si>
    <t>West</t>
  </si>
  <si>
    <t>ORD-10012</t>
  </si>
  <si>
    <t>B0002XZ02</t>
  </si>
  <si>
    <t>ORD-10013</t>
  </si>
  <si>
    <t>B0019XZ19</t>
  </si>
  <si>
    <t>ORD-10014</t>
  </si>
  <si>
    <t>ORD-10015</t>
  </si>
  <si>
    <t>B0023XZ23</t>
  </si>
  <si>
    <t>ORD-10016</t>
  </si>
  <si>
    <t>B0006XZ06</t>
  </si>
  <si>
    <t>ORD-10017</t>
  </si>
  <si>
    <t>B0024XZ24</t>
  </si>
  <si>
    <t>ORD-10018</t>
  </si>
  <si>
    <t>ORD-10019</t>
  </si>
  <si>
    <t>Address Issue</t>
  </si>
  <si>
    <t>ORD-10020</t>
  </si>
  <si>
    <t>B0001XZ01</t>
  </si>
  <si>
    <t>ORD-10021</t>
  </si>
  <si>
    <t>ORD-10022</t>
  </si>
  <si>
    <t>B0015XZ15</t>
  </si>
  <si>
    <t>ORD-10023</t>
  </si>
  <si>
    <t>ORD-10024</t>
  </si>
  <si>
    <t>ORD-10025</t>
  </si>
  <si>
    <t>B0003XZ03</t>
  </si>
  <si>
    <t>ORD-10026</t>
  </si>
  <si>
    <t>B0020XZ20</t>
  </si>
  <si>
    <t>ORD-10027</t>
  </si>
  <si>
    <t>B0016XZ16</t>
  </si>
  <si>
    <t>Courier Delay</t>
  </si>
  <si>
    <t>ORD-10028</t>
  </si>
  <si>
    <t>ORD-10029</t>
  </si>
  <si>
    <t>B0005XZ05</t>
  </si>
  <si>
    <t>ORD-10030</t>
  </si>
  <si>
    <t>B0017XZ17</t>
  </si>
  <si>
    <t>ORD-10031</t>
  </si>
  <si>
    <t>B0021XZ21</t>
  </si>
  <si>
    <t>ORD-10032</t>
  </si>
  <si>
    <t>B0007XZ07</t>
  </si>
  <si>
    <t>ORD-10033</t>
  </si>
  <si>
    <t>B0009XZ09</t>
  </si>
  <si>
    <t>ORD-10034</t>
  </si>
  <si>
    <t>ORD-10035</t>
  </si>
  <si>
    <t>ORD-10036</t>
  </si>
  <si>
    <t>ORD-10037</t>
  </si>
  <si>
    <t>ORD-10038</t>
  </si>
  <si>
    <t>ORD-10039</t>
  </si>
  <si>
    <t>ORD-10040</t>
  </si>
  <si>
    <t>B0022XZ22</t>
  </si>
  <si>
    <t>ORD-10041</t>
  </si>
  <si>
    <t>ORD-10042</t>
  </si>
  <si>
    <t>ORD-10043</t>
  </si>
  <si>
    <t>ORD-10044</t>
  </si>
  <si>
    <t>ORD-10045</t>
  </si>
  <si>
    <t>ORD-10046</t>
  </si>
  <si>
    <t>ORD-10047</t>
  </si>
  <si>
    <t>ORD-10048</t>
  </si>
  <si>
    <t>ORD-10049</t>
  </si>
  <si>
    <t>ORD-10050</t>
  </si>
  <si>
    <t>ORD-10051</t>
  </si>
  <si>
    <t>ORD-10052</t>
  </si>
  <si>
    <t>ORD-10053</t>
  </si>
  <si>
    <t>ORD-10054</t>
  </si>
  <si>
    <t>ORD-10055</t>
  </si>
  <si>
    <t>ORD-10056</t>
  </si>
  <si>
    <t>ORD-10057</t>
  </si>
  <si>
    <t>ORD-10058</t>
  </si>
  <si>
    <t>ORD-10059</t>
  </si>
  <si>
    <t>ORD-10060</t>
  </si>
  <si>
    <t>B0014XZ14</t>
  </si>
  <si>
    <t>ORD-10061</t>
  </si>
  <si>
    <t>ORD-10062</t>
  </si>
  <si>
    <t>ORD-10063</t>
  </si>
  <si>
    <t>ORD-10064</t>
  </si>
  <si>
    <t>ORD-10065</t>
  </si>
  <si>
    <t>ORD-10066</t>
  </si>
  <si>
    <t>ORD-10067</t>
  </si>
  <si>
    <t>ORD-10068</t>
  </si>
  <si>
    <t>ORD-10069</t>
  </si>
  <si>
    <t>B0027XZ27</t>
  </si>
  <si>
    <t>ORD-10070</t>
  </si>
  <si>
    <t>ORD-10071</t>
  </si>
  <si>
    <t>ORD-10072</t>
  </si>
  <si>
    <t>ORD-10073</t>
  </si>
  <si>
    <t>ORD-10074</t>
  </si>
  <si>
    <t>ORD-10075</t>
  </si>
  <si>
    <t>ORD-10076</t>
  </si>
  <si>
    <t>ORD-10077</t>
  </si>
  <si>
    <t>ORD-10078</t>
  </si>
  <si>
    <t>ORD-10079</t>
  </si>
  <si>
    <t>ORD-10080</t>
  </si>
  <si>
    <t>B0013XZ13</t>
  </si>
  <si>
    <t>ORD-10081</t>
  </si>
  <si>
    <t>ORD-10082</t>
  </si>
  <si>
    <t>ORD-10083</t>
  </si>
  <si>
    <t>ORD-10084</t>
  </si>
  <si>
    <t>ORD-10085</t>
  </si>
  <si>
    <t>ORD-10086</t>
  </si>
  <si>
    <t>ORD-10087</t>
  </si>
  <si>
    <t>ORD-10088</t>
  </si>
  <si>
    <t>ORD-10089</t>
  </si>
  <si>
    <t>ORD-10090</t>
  </si>
  <si>
    <t>ORD-10091</t>
  </si>
  <si>
    <t>ORD-10092</t>
  </si>
  <si>
    <t>ORD-10093</t>
  </si>
  <si>
    <t>B0010XZ10</t>
  </si>
  <si>
    <t>ORD-10094</t>
  </si>
  <si>
    <t>ORD-10095</t>
  </si>
  <si>
    <t>ORD-10096</t>
  </si>
  <si>
    <t>ORD-10097</t>
  </si>
  <si>
    <t>ORD-10098</t>
  </si>
  <si>
    <t>ORD-10099</t>
  </si>
  <si>
    <t>ORD-10100</t>
  </si>
  <si>
    <t>ORD-10101</t>
  </si>
  <si>
    <t>ORD-10102</t>
  </si>
  <si>
    <t>ORD-10103</t>
  </si>
  <si>
    <t>ORD-10104</t>
  </si>
  <si>
    <t>ORD-10105</t>
  </si>
  <si>
    <t>ORD-10106</t>
  </si>
  <si>
    <t>ORD-10107</t>
  </si>
  <si>
    <t>ORD-10108</t>
  </si>
  <si>
    <t>ORD-10109</t>
  </si>
  <si>
    <t>ORD-10110</t>
  </si>
  <si>
    <t>ORD-10111</t>
  </si>
  <si>
    <t>ORD-10112</t>
  </si>
  <si>
    <t>ORD-10113</t>
  </si>
  <si>
    <t>ORD-10114</t>
  </si>
  <si>
    <t>ORD-10115</t>
  </si>
  <si>
    <t>ORD-10116</t>
  </si>
  <si>
    <t>ORD-10117</t>
  </si>
  <si>
    <t>ORD-10118</t>
  </si>
  <si>
    <t>ORD-10119</t>
  </si>
  <si>
    <t>ORD-10120</t>
  </si>
  <si>
    <t>ORD-10121</t>
  </si>
  <si>
    <t>ORD-10122</t>
  </si>
  <si>
    <t>ORD-10123</t>
  </si>
  <si>
    <t>ORD-10124</t>
  </si>
  <si>
    <t>ORD-10125</t>
  </si>
  <si>
    <t>ORD-10126</t>
  </si>
  <si>
    <t>ORD-10127</t>
  </si>
  <si>
    <t>ORD-10128</t>
  </si>
  <si>
    <t>ORD-10129</t>
  </si>
  <si>
    <t>ORD-10130</t>
  </si>
  <si>
    <t>ORD-10131</t>
  </si>
  <si>
    <t>ORD-10132</t>
  </si>
  <si>
    <t>ORD-10133</t>
  </si>
  <si>
    <t>ORD-10134</t>
  </si>
  <si>
    <t>ORD-10135</t>
  </si>
  <si>
    <t>ORD-10136</t>
  </si>
  <si>
    <t>ORD-10137</t>
  </si>
  <si>
    <t>ORD-10138</t>
  </si>
  <si>
    <t>ORD-10139</t>
  </si>
  <si>
    <t>ORD-10140</t>
  </si>
  <si>
    <t>ORD-10141</t>
  </si>
  <si>
    <t>ORD-10142</t>
  </si>
  <si>
    <t>ORD-10143</t>
  </si>
  <si>
    <t>ORD-10144</t>
  </si>
  <si>
    <t>ORD-10145</t>
  </si>
  <si>
    <t>ORD-10146</t>
  </si>
  <si>
    <t>ORD-10147</t>
  </si>
  <si>
    <t>ORD-10148</t>
  </si>
  <si>
    <t>ORD-10149</t>
  </si>
  <si>
    <t>ORD-10150</t>
  </si>
  <si>
    <t>On Time%</t>
  </si>
  <si>
    <t>Average Delay</t>
  </si>
  <si>
    <t>Repeat-Offender Flag</t>
  </si>
  <si>
    <t>Total Order</t>
  </si>
  <si>
    <t>Delayed Order</t>
  </si>
  <si>
    <t>Row Labels</t>
  </si>
  <si>
    <t>Grand Total</t>
  </si>
  <si>
    <t>Average of Delay (Days)</t>
  </si>
  <si>
    <t>(All)</t>
  </si>
  <si>
    <t>Delayed</t>
  </si>
  <si>
    <t>Count of Actual Delivery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</si>
</sst>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4" x14ac:knownFonts="1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  <xf numFmtId="0" fontId="3" fillId="0" borderId="0" xfId="0" applyFont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7B7B7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[Last-Mile Delivery Quality Dashboard.xlsx]Sheet3!PivotTable1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Delay (Days) by Region and Courier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Sheet3!$A$4:$A$20</c:f>
              <c:multiLvlStrCache>
                <c:ptCount val="12"/>
                <c:lvl>
                  <c:pt idx="0">
                    <c:v>Courier A</c:v>
                  </c:pt>
                  <c:pt idx="1">
                    <c:v>Courier B</c:v>
                  </c:pt>
                  <c:pt idx="2">
                    <c:v>Courier C</c:v>
                  </c:pt>
                  <c:pt idx="3">
                    <c:v>Courier A</c:v>
                  </c:pt>
                  <c:pt idx="4">
                    <c:v>Courier B</c:v>
                  </c:pt>
                  <c:pt idx="5">
                    <c:v>Courier C</c:v>
                  </c:pt>
                  <c:pt idx="6">
                    <c:v>Courier A</c:v>
                  </c:pt>
                  <c:pt idx="7">
                    <c:v>Courier B</c:v>
                  </c:pt>
                  <c:pt idx="8">
                    <c:v>Courier C</c:v>
                  </c:pt>
                  <c:pt idx="9">
                    <c:v>Courier A</c:v>
                  </c:pt>
                  <c:pt idx="10">
                    <c:v>Courier B</c:v>
                  </c:pt>
                  <c:pt idx="11">
                    <c:v>Courier C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Sheet3!$B$4:$B$20</c:f>
              <c:numCache>
                <c:formatCode>General</c:formatCode>
                <c:ptCount val="12"/>
                <c:pt idx="0">
                  <c:v>3.5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3.7142857142857144</c:v>
                </c:pt>
                <c:pt idx="6">
                  <c:v>4</c:v>
                </c:pt>
                <c:pt idx="7">
                  <c:v>3.8</c:v>
                </c:pt>
                <c:pt idx="8">
                  <c:v>7</c:v>
                </c:pt>
                <c:pt idx="9">
                  <c:v>2.3333333333333335</c:v>
                </c:pt>
                <c:pt idx="10">
                  <c:v>3.5714285714285716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150-4BFF-AE87-8844EADDA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246671"/>
        <c:axId val="2144618575"/>
      </c:barChart>
      <c:catAx>
        <c:axId val="27246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618575"/>
        <c:crosses val="autoZero"/>
        <c:auto val="1"/>
        <c:lblAlgn val="ctr"/>
        <c:lblOffset val="100"/>
        <c:noMultiLvlLbl val="0"/>
      </c:catAx>
      <c:valAx>
        <c:axId val="2144618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24667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[Last-Mile Delivery Quality Dashboard.xlsx]Sheet3!PivotTable6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Count of Delayed Orders by Region and Courier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Sheet3!$O$5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Sheet3!$N$6:$N$22</c:f>
              <c:multiLvlStrCache>
                <c:ptCount val="12"/>
                <c:lvl>
                  <c:pt idx="0">
                    <c:v>Courier A</c:v>
                  </c:pt>
                  <c:pt idx="1">
                    <c:v>Courier B</c:v>
                  </c:pt>
                  <c:pt idx="2">
                    <c:v>Courier C</c:v>
                  </c:pt>
                  <c:pt idx="3">
                    <c:v>Courier A</c:v>
                  </c:pt>
                  <c:pt idx="4">
                    <c:v>Courier B</c:v>
                  </c:pt>
                  <c:pt idx="5">
                    <c:v>Courier C</c:v>
                  </c:pt>
                  <c:pt idx="6">
                    <c:v>Courier A</c:v>
                  </c:pt>
                  <c:pt idx="7">
                    <c:v>Courier B</c:v>
                  </c:pt>
                  <c:pt idx="8">
                    <c:v>Courier C</c:v>
                  </c:pt>
                  <c:pt idx="9">
                    <c:v>Courier A</c:v>
                  </c:pt>
                  <c:pt idx="10">
                    <c:v>Courier B</c:v>
                  </c:pt>
                  <c:pt idx="11">
                    <c:v>Courier C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Sheet3!$O$6:$O$22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3</c:v>
                </c:pt>
                <c:pt idx="7">
                  <c:v>5</c:v>
                </c:pt>
                <c:pt idx="8">
                  <c:v>1</c:v>
                </c:pt>
                <c:pt idx="9">
                  <c:v>3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388-AF51-D7934BFD2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073983"/>
        <c:axId val="172091503"/>
      </c:barChart>
      <c:catAx>
        <c:axId val="170073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91503"/>
        <c:crosses val="autoZero"/>
        <c:auto val="1"/>
        <c:lblAlgn val="ctr"/>
        <c:lblOffset val="100"/>
        <c:noMultiLvlLbl val="0"/>
      </c:catAx>
      <c:valAx>
        <c:axId val="172091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73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[Last-Mile Delivery Quality Dashboard.xlsx]Sheet5!PivotTable3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Sheet5!$A$4:$A$20</c:f>
              <c:multiLvlStrCache>
                <c:ptCount val="12"/>
                <c:lvl>
                  <c:pt idx="0">
                    <c:v>Courier A</c:v>
                  </c:pt>
                  <c:pt idx="1">
                    <c:v>Courier B</c:v>
                  </c:pt>
                  <c:pt idx="2">
                    <c:v>Courier C</c:v>
                  </c:pt>
                  <c:pt idx="3">
                    <c:v>Courier A</c:v>
                  </c:pt>
                  <c:pt idx="4">
                    <c:v>Courier B</c:v>
                  </c:pt>
                  <c:pt idx="5">
                    <c:v>Courier C</c:v>
                  </c:pt>
                  <c:pt idx="6">
                    <c:v>Courier A</c:v>
                  </c:pt>
                  <c:pt idx="7">
                    <c:v>Courier B</c:v>
                  </c:pt>
                  <c:pt idx="8">
                    <c:v>Courier C</c:v>
                  </c:pt>
                  <c:pt idx="9">
                    <c:v>Courier A</c:v>
                  </c:pt>
                  <c:pt idx="10">
                    <c:v>Courier B</c:v>
                  </c:pt>
                  <c:pt idx="11">
                    <c:v>Courier C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Sheet5!$B$4:$B$20</c:f>
              <c:numCache>
                <c:formatCode>General</c:formatCode>
                <c:ptCount val="12"/>
                <c:pt idx="0">
                  <c:v>11</c:v>
                </c:pt>
                <c:pt idx="1">
                  <c:v>12</c:v>
                </c:pt>
                <c:pt idx="2">
                  <c:v>13</c:v>
                </c:pt>
                <c:pt idx="3">
                  <c:v>10</c:v>
                </c:pt>
                <c:pt idx="4">
                  <c:v>11</c:v>
                </c:pt>
                <c:pt idx="5">
                  <c:v>19</c:v>
                </c:pt>
                <c:pt idx="6">
                  <c:v>16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10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6-4C6D-B773-C44A8E42F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2371567"/>
        <c:axId val="172051183"/>
      </c:barChart>
      <c:catAx>
        <c:axId val="212371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051183"/>
        <c:crosses val="autoZero"/>
        <c:auto val="1"/>
        <c:lblAlgn val="ctr"/>
        <c:lblOffset val="100"/>
        <c:noMultiLvlLbl val="0"/>
      </c:catAx>
      <c:valAx>
        <c:axId val="172051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37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335280</xdr:colOff>
      <xdr:row>1</xdr:row>
      <xdr:rowOff>22859</xdr:rowOff>
    </xdr:from>
    <xdr:to>
      <xdr:col>12</xdr:col>
      <xdr:colOff>20595</xdr:colOff>
      <xdr:row>22</xdr:row>
      <xdr:rowOff>20593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646002-E610-C7A0-4A59-17711B741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246138</xdr:colOff>
      <xdr:row>1</xdr:row>
      <xdr:rowOff>131141</xdr:rowOff>
    </xdr:from>
    <xdr:to>
      <xdr:col>25</xdr:col>
      <xdr:colOff>256436</xdr:colOff>
      <xdr:row>22</xdr:row>
      <xdr:rowOff>133200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E056D29-D1E9-7819-0BE1-F504EA076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297180</xdr:colOff>
      <xdr:row>1</xdr:row>
      <xdr:rowOff>110490</xdr:rowOff>
    </xdr:from>
    <xdr:to>
      <xdr:col>9</xdr:col>
      <xdr:colOff>601980</xdr:colOff>
      <xdr:row>16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8D3BD0-E847-D778-756D-EE94DDFE00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unal" refreshedDate="46278.618309259262" createdVersion="8" refreshedVersion="8" minRefreshableVersion="3" recordCount="150" xr:uid="{ECBF08B8-B972-4E62-ABDC-6F16905ACFE6}">
  <cacheSource type="worksheet">
    <worksheetSource name="tbl_Orders"/>
  </cacheSource>
  <cacheFields count="10">
    <cacheField name="Order ID" numFmtId="0">
      <sharedItems/>
    </cacheField>
    <cacheField name="ASIN" numFmtId="0">
      <sharedItems/>
    </cacheField>
    <cacheField name="Region" numFmtId="0">
      <sharedItems count="4">
        <s v="South"/>
        <s v="North"/>
        <s v="East"/>
        <s v="West"/>
      </sharedItems>
    </cacheField>
    <cacheField name="Courier" numFmtId="0">
      <sharedItems count="3">
        <s v="Courier B"/>
        <s v="Courier C"/>
        <s v="Courier A"/>
      </sharedItems>
    </cacheField>
    <cacheField name="Order Date" numFmtId="164">
      <sharedItems containsSemiMixedTypes="0" containsNonDate="0" containsDate="1" containsString="0" minDate="2026-06-01T00:00:00" maxDate="2026-08-15T00:00:00"/>
    </cacheField>
    <cacheField name="Promised Delivery Date" numFmtId="164">
      <sharedItems containsSemiMixedTypes="0" containsNonDate="0" containsDate="1" containsString="0" minDate="2026-06-03T00:00:00" maxDate="2026-08-19T00:00:00"/>
    </cacheField>
    <cacheField name="Actual Delivery Date" numFmtId="164">
      <sharedItems containsSemiMixedTypes="0" containsNonDate="0" containsDate="1" containsString="0" minDate="2026-06-02T00:00:00" maxDate="2026-08-20T00:00:00"/>
    </cacheField>
    <cacheField name="Delay Reason" numFmtId="0">
      <sharedItems count="5">
        <s v="None"/>
        <s v="Weather"/>
        <s v="Warehouse Delay"/>
        <s v="Address Issue"/>
        <s v="Courier Delay"/>
      </sharedItems>
    </cacheField>
    <cacheField name="Delay (Days)" numFmtId="0">
      <sharedItems containsSemiMixedTypes="0" containsString="0" containsNumber="1" containsInteger="1" minValue="-1" maxValue="7"/>
    </cacheField>
    <cacheField name="Delivery Status" numFmtId="0">
      <sharedItems count="2">
        <s v="On Time"/>
        <s v="Delay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ORD-10001"/>
    <s v="B0011XZ11"/>
    <x v="0"/>
    <x v="0"/>
    <d v="2026-06-07T00:00:00"/>
    <d v="2026-06-09T00:00:00"/>
    <d v="2026-06-09T00:00:00"/>
    <x v="0"/>
    <n v="0"/>
    <x v="0"/>
  </r>
  <r>
    <s v="ORD-10002"/>
    <s v="B0012XZ12"/>
    <x v="1"/>
    <x v="1"/>
    <d v="2026-06-28T00:00:00"/>
    <d v="2026-06-30T00:00:00"/>
    <d v="2026-07-04T00:00:00"/>
    <x v="1"/>
    <n v="4"/>
    <x v="1"/>
  </r>
  <r>
    <s v="ORD-10003"/>
    <s v="B0008XZ08"/>
    <x v="1"/>
    <x v="1"/>
    <d v="2026-07-25T00:00:00"/>
    <d v="2026-07-27T00:00:00"/>
    <d v="2026-07-27T00:00:00"/>
    <x v="0"/>
    <n v="0"/>
    <x v="0"/>
  </r>
  <r>
    <s v="ORD-10004"/>
    <s v="B0008XZ08"/>
    <x v="1"/>
    <x v="1"/>
    <d v="2026-08-14T00:00:00"/>
    <d v="2026-08-17T00:00:00"/>
    <d v="2026-08-19T00:00:00"/>
    <x v="1"/>
    <n v="2"/>
    <x v="1"/>
  </r>
  <r>
    <s v="ORD-10005"/>
    <s v="B0018XZ18"/>
    <x v="0"/>
    <x v="0"/>
    <d v="2026-07-24T00:00:00"/>
    <d v="2026-07-26T00:00:00"/>
    <d v="2026-07-25T00:00:00"/>
    <x v="0"/>
    <n v="-1"/>
    <x v="0"/>
  </r>
  <r>
    <s v="ORD-10006"/>
    <s v="B0018XZ18"/>
    <x v="0"/>
    <x v="2"/>
    <d v="2026-08-14T00:00:00"/>
    <d v="2026-08-18T00:00:00"/>
    <d v="2026-08-17T00:00:00"/>
    <x v="0"/>
    <n v="-1"/>
    <x v="0"/>
  </r>
  <r>
    <s v="ORD-10007"/>
    <s v="B0004XZ04"/>
    <x v="1"/>
    <x v="1"/>
    <d v="2026-06-08T00:00:00"/>
    <d v="2026-06-12T00:00:00"/>
    <d v="2026-06-18T00:00:00"/>
    <x v="2"/>
    <n v="6"/>
    <x v="1"/>
  </r>
  <r>
    <s v="ORD-10008"/>
    <s v="B0025XZ25"/>
    <x v="2"/>
    <x v="0"/>
    <d v="2026-08-14T00:00:00"/>
    <d v="2026-08-17T00:00:00"/>
    <d v="2026-08-17T00:00:00"/>
    <x v="0"/>
    <n v="0"/>
    <x v="0"/>
  </r>
  <r>
    <s v="ORD-10009"/>
    <s v="B0026XZ26"/>
    <x v="0"/>
    <x v="1"/>
    <d v="2026-07-02T00:00:00"/>
    <d v="2026-07-04T00:00:00"/>
    <d v="2026-07-03T00:00:00"/>
    <x v="0"/>
    <n v="-1"/>
    <x v="0"/>
  </r>
  <r>
    <s v="ORD-10010"/>
    <s v="B0029XZ29"/>
    <x v="2"/>
    <x v="1"/>
    <d v="2026-07-28T00:00:00"/>
    <d v="2026-07-31T00:00:00"/>
    <d v="2026-07-31T00:00:00"/>
    <x v="0"/>
    <n v="0"/>
    <x v="0"/>
  </r>
  <r>
    <s v="ORD-10011"/>
    <s v="B0004XZ04"/>
    <x v="3"/>
    <x v="2"/>
    <d v="2026-07-14T00:00:00"/>
    <d v="2026-07-16T00:00:00"/>
    <d v="2026-07-15T00:00:00"/>
    <x v="0"/>
    <n v="-1"/>
    <x v="0"/>
  </r>
  <r>
    <s v="ORD-10012"/>
    <s v="B0002XZ02"/>
    <x v="1"/>
    <x v="1"/>
    <d v="2026-08-13T00:00:00"/>
    <d v="2026-08-16T00:00:00"/>
    <d v="2026-08-19T00:00:00"/>
    <x v="2"/>
    <n v="3"/>
    <x v="1"/>
  </r>
  <r>
    <s v="ORD-10013"/>
    <s v="B0019XZ19"/>
    <x v="3"/>
    <x v="2"/>
    <d v="2026-06-12T00:00:00"/>
    <d v="2026-06-15T00:00:00"/>
    <d v="2026-06-15T00:00:00"/>
    <x v="0"/>
    <n v="0"/>
    <x v="0"/>
  </r>
  <r>
    <s v="ORD-10014"/>
    <s v="B0002XZ02"/>
    <x v="2"/>
    <x v="1"/>
    <d v="2026-08-13T00:00:00"/>
    <d v="2026-08-17T00:00:00"/>
    <d v="2026-08-16T00:00:00"/>
    <x v="0"/>
    <n v="-1"/>
    <x v="0"/>
  </r>
  <r>
    <s v="ORD-10015"/>
    <s v="B0023XZ23"/>
    <x v="3"/>
    <x v="1"/>
    <d v="2026-07-15T00:00:00"/>
    <d v="2026-07-17T00:00:00"/>
    <d v="2026-07-16T00:00:00"/>
    <x v="0"/>
    <n v="-1"/>
    <x v="0"/>
  </r>
  <r>
    <s v="ORD-10016"/>
    <s v="B0006XZ06"/>
    <x v="1"/>
    <x v="0"/>
    <d v="2026-06-08T00:00:00"/>
    <d v="2026-06-10T00:00:00"/>
    <d v="2026-06-10T00:00:00"/>
    <x v="0"/>
    <n v="0"/>
    <x v="0"/>
  </r>
  <r>
    <s v="ORD-10017"/>
    <s v="B0024XZ24"/>
    <x v="0"/>
    <x v="0"/>
    <d v="2026-07-21T00:00:00"/>
    <d v="2026-07-24T00:00:00"/>
    <d v="2026-07-28T00:00:00"/>
    <x v="2"/>
    <n v="4"/>
    <x v="1"/>
  </r>
  <r>
    <s v="ORD-10018"/>
    <s v="B0018XZ18"/>
    <x v="2"/>
    <x v="2"/>
    <d v="2026-07-26T00:00:00"/>
    <d v="2026-07-30T00:00:00"/>
    <d v="2026-07-29T00:00:00"/>
    <x v="0"/>
    <n v="-1"/>
    <x v="0"/>
  </r>
  <r>
    <s v="ORD-10019"/>
    <s v="B0012XZ12"/>
    <x v="3"/>
    <x v="2"/>
    <d v="2026-06-20T00:00:00"/>
    <d v="2026-06-22T00:00:00"/>
    <d v="2026-06-24T00:00:00"/>
    <x v="3"/>
    <n v="2"/>
    <x v="1"/>
  </r>
  <r>
    <s v="ORD-10020"/>
    <s v="B0001XZ01"/>
    <x v="3"/>
    <x v="1"/>
    <d v="2026-06-24T00:00:00"/>
    <d v="2026-06-27T00:00:00"/>
    <d v="2026-06-29T00:00:00"/>
    <x v="2"/>
    <n v="2"/>
    <x v="1"/>
  </r>
  <r>
    <s v="ORD-10021"/>
    <s v="B0018XZ18"/>
    <x v="2"/>
    <x v="1"/>
    <d v="2026-08-12T00:00:00"/>
    <d v="2026-08-15T00:00:00"/>
    <d v="2026-08-15T00:00:00"/>
    <x v="0"/>
    <n v="0"/>
    <x v="0"/>
  </r>
  <r>
    <s v="ORD-10022"/>
    <s v="B0015XZ15"/>
    <x v="3"/>
    <x v="0"/>
    <d v="2026-07-22T00:00:00"/>
    <d v="2026-07-25T00:00:00"/>
    <d v="2026-07-31T00:00:00"/>
    <x v="2"/>
    <n v="6"/>
    <x v="1"/>
  </r>
  <r>
    <s v="ORD-10023"/>
    <s v="B0002XZ02"/>
    <x v="0"/>
    <x v="2"/>
    <d v="2026-06-27T00:00:00"/>
    <d v="2026-06-30T00:00:00"/>
    <d v="2026-07-03T00:00:00"/>
    <x v="1"/>
    <n v="3"/>
    <x v="1"/>
  </r>
  <r>
    <s v="ORD-10024"/>
    <s v="B0004XZ04"/>
    <x v="1"/>
    <x v="1"/>
    <d v="2026-06-20T00:00:00"/>
    <d v="2026-06-24T00:00:00"/>
    <d v="2026-06-27T00:00:00"/>
    <x v="1"/>
    <n v="3"/>
    <x v="1"/>
  </r>
  <r>
    <s v="ORD-10025"/>
    <s v="B0003XZ03"/>
    <x v="0"/>
    <x v="1"/>
    <d v="2026-07-19T00:00:00"/>
    <d v="2026-07-21T00:00:00"/>
    <d v="2026-07-20T00:00:00"/>
    <x v="0"/>
    <n v="-1"/>
    <x v="0"/>
  </r>
  <r>
    <s v="ORD-10026"/>
    <s v="B0020XZ20"/>
    <x v="2"/>
    <x v="0"/>
    <d v="2026-06-16T00:00:00"/>
    <d v="2026-06-18T00:00:00"/>
    <d v="2026-06-17T00:00:00"/>
    <x v="0"/>
    <n v="-1"/>
    <x v="0"/>
  </r>
  <r>
    <s v="ORD-10027"/>
    <s v="B0016XZ16"/>
    <x v="3"/>
    <x v="0"/>
    <d v="2026-06-11T00:00:00"/>
    <d v="2026-06-13T00:00:00"/>
    <d v="2026-06-16T00:00:00"/>
    <x v="4"/>
    <n v="3"/>
    <x v="1"/>
  </r>
  <r>
    <s v="ORD-10028"/>
    <s v="B0016XZ16"/>
    <x v="0"/>
    <x v="1"/>
    <d v="2026-06-03T00:00:00"/>
    <d v="2026-06-05T00:00:00"/>
    <d v="2026-06-04T00:00:00"/>
    <x v="0"/>
    <n v="-1"/>
    <x v="0"/>
  </r>
  <r>
    <s v="ORD-10029"/>
    <s v="B0005XZ05"/>
    <x v="1"/>
    <x v="1"/>
    <d v="2026-07-09T00:00:00"/>
    <d v="2026-07-13T00:00:00"/>
    <d v="2026-07-12T00:00:00"/>
    <x v="0"/>
    <n v="-1"/>
    <x v="0"/>
  </r>
  <r>
    <s v="ORD-10030"/>
    <s v="B0017XZ17"/>
    <x v="2"/>
    <x v="2"/>
    <d v="2026-07-16T00:00:00"/>
    <d v="2026-07-18T00:00:00"/>
    <d v="2026-07-17T00:00:00"/>
    <x v="0"/>
    <n v="-1"/>
    <x v="0"/>
  </r>
  <r>
    <s v="ORD-10031"/>
    <s v="B0021XZ21"/>
    <x v="0"/>
    <x v="1"/>
    <d v="2026-06-25T00:00:00"/>
    <d v="2026-06-27T00:00:00"/>
    <d v="2026-06-27T00:00:00"/>
    <x v="0"/>
    <n v="0"/>
    <x v="0"/>
  </r>
  <r>
    <s v="ORD-10032"/>
    <s v="B0007XZ07"/>
    <x v="3"/>
    <x v="0"/>
    <d v="2026-06-04T00:00:00"/>
    <d v="2026-06-06T00:00:00"/>
    <d v="2026-06-05T00:00:00"/>
    <x v="0"/>
    <n v="-1"/>
    <x v="0"/>
  </r>
  <r>
    <s v="ORD-10033"/>
    <s v="B0009XZ09"/>
    <x v="0"/>
    <x v="1"/>
    <d v="2026-07-15T00:00:00"/>
    <d v="2026-07-18T00:00:00"/>
    <d v="2026-07-17T00:00:00"/>
    <x v="0"/>
    <n v="-1"/>
    <x v="0"/>
  </r>
  <r>
    <s v="ORD-10034"/>
    <s v="B0012XZ12"/>
    <x v="1"/>
    <x v="2"/>
    <d v="2026-06-14T00:00:00"/>
    <d v="2026-06-16T00:00:00"/>
    <d v="2026-06-15T00:00:00"/>
    <x v="0"/>
    <n v="-1"/>
    <x v="0"/>
  </r>
  <r>
    <s v="ORD-10035"/>
    <s v="B0007XZ07"/>
    <x v="3"/>
    <x v="1"/>
    <d v="2026-06-01T00:00:00"/>
    <d v="2026-06-04T00:00:00"/>
    <d v="2026-06-03T00:00:00"/>
    <x v="0"/>
    <n v="-1"/>
    <x v="0"/>
  </r>
  <r>
    <s v="ORD-10036"/>
    <s v="B0026XZ26"/>
    <x v="1"/>
    <x v="1"/>
    <d v="2026-06-16T00:00:00"/>
    <d v="2026-06-19T00:00:00"/>
    <d v="2026-06-19T00:00:00"/>
    <x v="0"/>
    <n v="0"/>
    <x v="0"/>
  </r>
  <r>
    <s v="ORD-10037"/>
    <s v="B0016XZ16"/>
    <x v="0"/>
    <x v="0"/>
    <d v="2026-07-13T00:00:00"/>
    <d v="2026-07-15T00:00:00"/>
    <d v="2026-07-14T00:00:00"/>
    <x v="0"/>
    <n v="-1"/>
    <x v="0"/>
  </r>
  <r>
    <s v="ORD-10038"/>
    <s v="B0015XZ15"/>
    <x v="3"/>
    <x v="1"/>
    <d v="2026-06-11T00:00:00"/>
    <d v="2026-06-15T00:00:00"/>
    <d v="2026-06-17T00:00:00"/>
    <x v="1"/>
    <n v="2"/>
    <x v="1"/>
  </r>
  <r>
    <s v="ORD-10039"/>
    <s v="B0005XZ05"/>
    <x v="3"/>
    <x v="1"/>
    <d v="2026-06-19T00:00:00"/>
    <d v="2026-06-23T00:00:00"/>
    <d v="2026-06-22T00:00:00"/>
    <x v="0"/>
    <n v="-1"/>
    <x v="0"/>
  </r>
  <r>
    <s v="ORD-10040"/>
    <s v="B0022XZ22"/>
    <x v="2"/>
    <x v="2"/>
    <d v="2026-08-10T00:00:00"/>
    <d v="2026-08-14T00:00:00"/>
    <d v="2026-08-15T00:00:00"/>
    <x v="1"/>
    <n v="1"/>
    <x v="1"/>
  </r>
  <r>
    <s v="ORD-10041"/>
    <s v="B0017XZ17"/>
    <x v="0"/>
    <x v="0"/>
    <d v="2026-06-25T00:00:00"/>
    <d v="2026-06-27T00:00:00"/>
    <d v="2026-06-29T00:00:00"/>
    <x v="4"/>
    <n v="2"/>
    <x v="1"/>
  </r>
  <r>
    <s v="ORD-10042"/>
    <s v="B0017XZ17"/>
    <x v="0"/>
    <x v="1"/>
    <d v="2026-07-12T00:00:00"/>
    <d v="2026-07-15T00:00:00"/>
    <d v="2026-07-15T00:00:00"/>
    <x v="0"/>
    <n v="0"/>
    <x v="0"/>
  </r>
  <r>
    <s v="ORD-10043"/>
    <s v="B0002XZ02"/>
    <x v="2"/>
    <x v="0"/>
    <d v="2026-08-14T00:00:00"/>
    <d v="2026-08-18T00:00:00"/>
    <d v="2026-08-18T00:00:00"/>
    <x v="0"/>
    <n v="0"/>
    <x v="0"/>
  </r>
  <r>
    <s v="ORD-10044"/>
    <s v="B0018XZ18"/>
    <x v="0"/>
    <x v="1"/>
    <d v="2026-08-05T00:00:00"/>
    <d v="2026-08-07T00:00:00"/>
    <d v="2026-08-07T00:00:00"/>
    <x v="0"/>
    <n v="0"/>
    <x v="0"/>
  </r>
  <r>
    <s v="ORD-10045"/>
    <s v="B0020XZ20"/>
    <x v="1"/>
    <x v="2"/>
    <d v="2026-06-23T00:00:00"/>
    <d v="2026-06-25T00:00:00"/>
    <d v="2026-06-25T00:00:00"/>
    <x v="0"/>
    <n v="0"/>
    <x v="0"/>
  </r>
  <r>
    <s v="ORD-10046"/>
    <s v="B0018XZ18"/>
    <x v="1"/>
    <x v="0"/>
    <d v="2026-08-06T00:00:00"/>
    <d v="2026-08-10T00:00:00"/>
    <d v="2026-08-10T00:00:00"/>
    <x v="0"/>
    <n v="0"/>
    <x v="0"/>
  </r>
  <r>
    <s v="ORD-10047"/>
    <s v="B0029XZ29"/>
    <x v="1"/>
    <x v="2"/>
    <d v="2026-06-25T00:00:00"/>
    <d v="2026-06-28T00:00:00"/>
    <d v="2026-06-29T00:00:00"/>
    <x v="2"/>
    <n v="1"/>
    <x v="1"/>
  </r>
  <r>
    <s v="ORD-10048"/>
    <s v="B0018XZ18"/>
    <x v="1"/>
    <x v="2"/>
    <d v="2026-07-27T00:00:00"/>
    <d v="2026-07-30T00:00:00"/>
    <d v="2026-07-30T00:00:00"/>
    <x v="0"/>
    <n v="0"/>
    <x v="0"/>
  </r>
  <r>
    <s v="ORD-10049"/>
    <s v="B0023XZ23"/>
    <x v="2"/>
    <x v="0"/>
    <d v="2026-08-05T00:00:00"/>
    <d v="2026-08-09T00:00:00"/>
    <d v="2026-08-09T00:00:00"/>
    <x v="0"/>
    <n v="0"/>
    <x v="0"/>
  </r>
  <r>
    <s v="ORD-10050"/>
    <s v="B0023XZ23"/>
    <x v="2"/>
    <x v="1"/>
    <d v="2026-06-26T00:00:00"/>
    <d v="2026-06-29T00:00:00"/>
    <d v="2026-06-30T00:00:00"/>
    <x v="2"/>
    <n v="1"/>
    <x v="1"/>
  </r>
  <r>
    <s v="ORD-10051"/>
    <s v="B0015XZ15"/>
    <x v="2"/>
    <x v="2"/>
    <d v="2026-07-01T00:00:00"/>
    <d v="2026-07-04T00:00:00"/>
    <d v="2026-07-10T00:00:00"/>
    <x v="4"/>
    <n v="6"/>
    <x v="1"/>
  </r>
  <r>
    <s v="ORD-10052"/>
    <s v="B0026XZ26"/>
    <x v="1"/>
    <x v="2"/>
    <d v="2026-07-17T00:00:00"/>
    <d v="2026-07-19T00:00:00"/>
    <d v="2026-07-21T00:00:00"/>
    <x v="2"/>
    <n v="2"/>
    <x v="1"/>
  </r>
  <r>
    <s v="ORD-10053"/>
    <s v="B0008XZ08"/>
    <x v="1"/>
    <x v="0"/>
    <d v="2026-08-02T00:00:00"/>
    <d v="2026-08-04T00:00:00"/>
    <d v="2026-08-04T00:00:00"/>
    <x v="0"/>
    <n v="0"/>
    <x v="0"/>
  </r>
  <r>
    <s v="ORD-10054"/>
    <s v="B0006XZ06"/>
    <x v="3"/>
    <x v="1"/>
    <d v="2026-07-22T00:00:00"/>
    <d v="2026-07-25T00:00:00"/>
    <d v="2026-07-24T00:00:00"/>
    <x v="0"/>
    <n v="-1"/>
    <x v="0"/>
  </r>
  <r>
    <s v="ORD-10055"/>
    <s v="B0011XZ11"/>
    <x v="1"/>
    <x v="1"/>
    <d v="2026-07-17T00:00:00"/>
    <d v="2026-07-19T00:00:00"/>
    <d v="2026-07-23T00:00:00"/>
    <x v="2"/>
    <n v="4"/>
    <x v="1"/>
  </r>
  <r>
    <s v="ORD-10056"/>
    <s v="B0023XZ23"/>
    <x v="1"/>
    <x v="0"/>
    <d v="2026-07-13T00:00:00"/>
    <d v="2026-07-17T00:00:00"/>
    <d v="2026-07-17T00:00:00"/>
    <x v="0"/>
    <n v="0"/>
    <x v="0"/>
  </r>
  <r>
    <s v="ORD-10057"/>
    <s v="B0004XZ04"/>
    <x v="0"/>
    <x v="2"/>
    <d v="2026-06-11T00:00:00"/>
    <d v="2026-06-14T00:00:00"/>
    <d v="2026-06-14T00:00:00"/>
    <x v="0"/>
    <n v="0"/>
    <x v="0"/>
  </r>
  <r>
    <s v="ORD-10058"/>
    <s v="B0009XZ09"/>
    <x v="0"/>
    <x v="0"/>
    <d v="2026-07-04T00:00:00"/>
    <d v="2026-07-07T00:00:00"/>
    <d v="2026-07-12T00:00:00"/>
    <x v="2"/>
    <n v="5"/>
    <x v="1"/>
  </r>
  <r>
    <s v="ORD-10059"/>
    <s v="B0023XZ23"/>
    <x v="2"/>
    <x v="2"/>
    <d v="2026-07-06T00:00:00"/>
    <d v="2026-07-08T00:00:00"/>
    <d v="2026-07-08T00:00:00"/>
    <x v="0"/>
    <n v="0"/>
    <x v="0"/>
  </r>
  <r>
    <s v="ORD-10060"/>
    <s v="B0014XZ14"/>
    <x v="1"/>
    <x v="0"/>
    <d v="2026-06-03T00:00:00"/>
    <d v="2026-06-07T00:00:00"/>
    <d v="2026-06-10T00:00:00"/>
    <x v="1"/>
    <n v="3"/>
    <x v="1"/>
  </r>
  <r>
    <s v="ORD-10061"/>
    <s v="B0020XZ20"/>
    <x v="0"/>
    <x v="2"/>
    <d v="2026-07-04T00:00:00"/>
    <d v="2026-07-06T00:00:00"/>
    <d v="2026-07-05T00:00:00"/>
    <x v="0"/>
    <n v="-1"/>
    <x v="0"/>
  </r>
  <r>
    <s v="ORD-10062"/>
    <s v="B0018XZ18"/>
    <x v="3"/>
    <x v="0"/>
    <d v="2026-06-17T00:00:00"/>
    <d v="2026-06-19T00:00:00"/>
    <d v="2026-06-19T00:00:00"/>
    <x v="0"/>
    <n v="0"/>
    <x v="0"/>
  </r>
  <r>
    <s v="ORD-10063"/>
    <s v="B0004XZ04"/>
    <x v="0"/>
    <x v="0"/>
    <d v="2026-06-07T00:00:00"/>
    <d v="2026-06-09T00:00:00"/>
    <d v="2026-06-12T00:00:00"/>
    <x v="4"/>
    <n v="3"/>
    <x v="1"/>
  </r>
  <r>
    <s v="ORD-10064"/>
    <s v="B0017XZ17"/>
    <x v="0"/>
    <x v="0"/>
    <d v="2026-07-28T00:00:00"/>
    <d v="2026-08-01T00:00:00"/>
    <d v="2026-07-31T00:00:00"/>
    <x v="0"/>
    <n v="-1"/>
    <x v="0"/>
  </r>
  <r>
    <s v="ORD-10065"/>
    <s v="B0012XZ12"/>
    <x v="1"/>
    <x v="0"/>
    <d v="2026-06-05T00:00:00"/>
    <d v="2026-06-07T00:00:00"/>
    <d v="2026-06-12T00:00:00"/>
    <x v="3"/>
    <n v="5"/>
    <x v="1"/>
  </r>
  <r>
    <s v="ORD-10066"/>
    <s v="B0017XZ17"/>
    <x v="3"/>
    <x v="2"/>
    <d v="2026-07-28T00:00:00"/>
    <d v="2026-07-30T00:00:00"/>
    <d v="2026-07-29T00:00:00"/>
    <x v="0"/>
    <n v="-1"/>
    <x v="0"/>
  </r>
  <r>
    <s v="ORD-10067"/>
    <s v="B0022XZ22"/>
    <x v="3"/>
    <x v="1"/>
    <d v="2026-07-21T00:00:00"/>
    <d v="2026-07-25T00:00:00"/>
    <d v="2026-07-27T00:00:00"/>
    <x v="3"/>
    <n v="2"/>
    <x v="1"/>
  </r>
  <r>
    <s v="ORD-10068"/>
    <s v="B0011XZ11"/>
    <x v="0"/>
    <x v="1"/>
    <d v="2026-06-18T00:00:00"/>
    <d v="2026-06-21T00:00:00"/>
    <d v="2026-06-21T00:00:00"/>
    <x v="0"/>
    <n v="0"/>
    <x v="0"/>
  </r>
  <r>
    <s v="ORD-10069"/>
    <s v="B0027XZ27"/>
    <x v="0"/>
    <x v="2"/>
    <d v="2026-06-10T00:00:00"/>
    <d v="2026-06-14T00:00:00"/>
    <d v="2026-06-13T00:00:00"/>
    <x v="0"/>
    <n v="-1"/>
    <x v="0"/>
  </r>
  <r>
    <s v="ORD-10070"/>
    <s v="B0014XZ14"/>
    <x v="0"/>
    <x v="2"/>
    <d v="2026-06-11T00:00:00"/>
    <d v="2026-06-15T00:00:00"/>
    <d v="2026-06-14T00:00:00"/>
    <x v="0"/>
    <n v="-1"/>
    <x v="0"/>
  </r>
  <r>
    <s v="ORD-10071"/>
    <s v="B0020XZ20"/>
    <x v="0"/>
    <x v="1"/>
    <d v="2026-07-08T00:00:00"/>
    <d v="2026-07-10T00:00:00"/>
    <d v="2026-07-10T00:00:00"/>
    <x v="0"/>
    <n v="0"/>
    <x v="0"/>
  </r>
  <r>
    <s v="ORD-10072"/>
    <s v="B0009XZ09"/>
    <x v="3"/>
    <x v="2"/>
    <d v="2026-07-04T00:00:00"/>
    <d v="2026-07-07T00:00:00"/>
    <d v="2026-07-06T00:00:00"/>
    <x v="0"/>
    <n v="-1"/>
    <x v="0"/>
  </r>
  <r>
    <s v="ORD-10073"/>
    <s v="B0008XZ08"/>
    <x v="1"/>
    <x v="0"/>
    <d v="2026-06-28T00:00:00"/>
    <d v="2026-07-01T00:00:00"/>
    <d v="2026-07-04T00:00:00"/>
    <x v="2"/>
    <n v="3"/>
    <x v="1"/>
  </r>
  <r>
    <s v="ORD-10074"/>
    <s v="B0003XZ03"/>
    <x v="3"/>
    <x v="0"/>
    <d v="2026-08-04T00:00:00"/>
    <d v="2026-08-08T00:00:00"/>
    <d v="2026-08-13T00:00:00"/>
    <x v="1"/>
    <n v="5"/>
    <x v="1"/>
  </r>
  <r>
    <s v="ORD-10075"/>
    <s v="B0003XZ03"/>
    <x v="2"/>
    <x v="2"/>
    <d v="2026-06-19T00:00:00"/>
    <d v="2026-06-22T00:00:00"/>
    <d v="2026-06-21T00:00:00"/>
    <x v="0"/>
    <n v="-1"/>
    <x v="0"/>
  </r>
  <r>
    <s v="ORD-10076"/>
    <s v="B0001XZ01"/>
    <x v="2"/>
    <x v="0"/>
    <d v="2026-06-30T00:00:00"/>
    <d v="2026-07-02T00:00:00"/>
    <d v="2026-07-02T00:00:00"/>
    <x v="0"/>
    <n v="0"/>
    <x v="0"/>
  </r>
  <r>
    <s v="ORD-10077"/>
    <s v="B0022XZ22"/>
    <x v="3"/>
    <x v="0"/>
    <d v="2026-08-03T00:00:00"/>
    <d v="2026-08-05T00:00:00"/>
    <d v="2026-08-10T00:00:00"/>
    <x v="3"/>
    <n v="5"/>
    <x v="1"/>
  </r>
  <r>
    <s v="ORD-10078"/>
    <s v="B0002XZ02"/>
    <x v="3"/>
    <x v="1"/>
    <d v="2026-08-04T00:00:00"/>
    <d v="2026-08-06T00:00:00"/>
    <d v="2026-08-06T00:00:00"/>
    <x v="0"/>
    <n v="0"/>
    <x v="0"/>
  </r>
  <r>
    <s v="ORD-10079"/>
    <s v="B0027XZ27"/>
    <x v="0"/>
    <x v="2"/>
    <d v="2026-06-04T00:00:00"/>
    <d v="2026-06-06T00:00:00"/>
    <d v="2026-06-09T00:00:00"/>
    <x v="1"/>
    <n v="3"/>
    <x v="1"/>
  </r>
  <r>
    <s v="ORD-10080"/>
    <s v="B0013XZ13"/>
    <x v="3"/>
    <x v="1"/>
    <d v="2026-06-07T00:00:00"/>
    <d v="2026-06-11T00:00:00"/>
    <d v="2026-06-16T00:00:00"/>
    <x v="3"/>
    <n v="5"/>
    <x v="1"/>
  </r>
  <r>
    <s v="ORD-10081"/>
    <s v="B0016XZ16"/>
    <x v="2"/>
    <x v="2"/>
    <d v="2026-07-29T00:00:00"/>
    <d v="2026-07-31T00:00:00"/>
    <d v="2026-07-31T00:00:00"/>
    <x v="0"/>
    <n v="0"/>
    <x v="0"/>
  </r>
  <r>
    <s v="ORD-10082"/>
    <s v="B0022XZ22"/>
    <x v="1"/>
    <x v="1"/>
    <d v="2026-07-31T00:00:00"/>
    <d v="2026-08-03T00:00:00"/>
    <d v="2026-08-02T00:00:00"/>
    <x v="0"/>
    <n v="-1"/>
    <x v="0"/>
  </r>
  <r>
    <s v="ORD-10083"/>
    <s v="B0008XZ08"/>
    <x v="0"/>
    <x v="2"/>
    <d v="2026-07-29T00:00:00"/>
    <d v="2026-08-01T00:00:00"/>
    <d v="2026-08-01T00:00:00"/>
    <x v="0"/>
    <n v="0"/>
    <x v="0"/>
  </r>
  <r>
    <s v="ORD-10084"/>
    <s v="B0016XZ16"/>
    <x v="2"/>
    <x v="2"/>
    <d v="2026-06-26T00:00:00"/>
    <d v="2026-06-28T00:00:00"/>
    <d v="2026-06-27T00:00:00"/>
    <x v="0"/>
    <n v="-1"/>
    <x v="0"/>
  </r>
  <r>
    <s v="ORD-10085"/>
    <s v="B0009XZ09"/>
    <x v="2"/>
    <x v="1"/>
    <d v="2026-08-12T00:00:00"/>
    <d v="2026-08-14T00:00:00"/>
    <d v="2026-08-15T00:00:00"/>
    <x v="2"/>
    <n v="1"/>
    <x v="1"/>
  </r>
  <r>
    <s v="ORD-10086"/>
    <s v="B0009XZ09"/>
    <x v="1"/>
    <x v="1"/>
    <d v="2026-06-28T00:00:00"/>
    <d v="2026-07-02T00:00:00"/>
    <d v="2026-07-01T00:00:00"/>
    <x v="0"/>
    <n v="-1"/>
    <x v="0"/>
  </r>
  <r>
    <s v="ORD-10087"/>
    <s v="B0015XZ15"/>
    <x v="3"/>
    <x v="0"/>
    <d v="2026-06-16T00:00:00"/>
    <d v="2026-06-20T00:00:00"/>
    <d v="2026-06-21T00:00:00"/>
    <x v="2"/>
    <n v="1"/>
    <x v="1"/>
  </r>
  <r>
    <s v="ORD-10088"/>
    <s v="B0001XZ01"/>
    <x v="2"/>
    <x v="0"/>
    <d v="2026-06-10T00:00:00"/>
    <d v="2026-06-14T00:00:00"/>
    <d v="2026-06-13T00:00:00"/>
    <x v="0"/>
    <n v="-1"/>
    <x v="0"/>
  </r>
  <r>
    <s v="ORD-10089"/>
    <s v="B0009XZ09"/>
    <x v="3"/>
    <x v="2"/>
    <d v="2026-06-27T00:00:00"/>
    <d v="2026-06-29T00:00:00"/>
    <d v="2026-06-29T00:00:00"/>
    <x v="0"/>
    <n v="0"/>
    <x v="0"/>
  </r>
  <r>
    <s v="ORD-10090"/>
    <s v="B0024XZ24"/>
    <x v="2"/>
    <x v="0"/>
    <d v="2026-06-17T00:00:00"/>
    <d v="2026-06-21T00:00:00"/>
    <d v="2026-06-20T00:00:00"/>
    <x v="0"/>
    <n v="-1"/>
    <x v="0"/>
  </r>
  <r>
    <s v="ORD-10091"/>
    <s v="B0029XZ29"/>
    <x v="1"/>
    <x v="1"/>
    <d v="2026-07-17T00:00:00"/>
    <d v="2026-07-19T00:00:00"/>
    <d v="2026-07-18T00:00:00"/>
    <x v="0"/>
    <n v="-1"/>
    <x v="0"/>
  </r>
  <r>
    <s v="ORD-10092"/>
    <s v="B0013XZ13"/>
    <x v="1"/>
    <x v="2"/>
    <d v="2026-06-01T00:00:00"/>
    <d v="2026-06-04T00:00:00"/>
    <d v="2026-06-03T00:00:00"/>
    <x v="0"/>
    <n v="-1"/>
    <x v="0"/>
  </r>
  <r>
    <s v="ORD-10093"/>
    <s v="B0010XZ10"/>
    <x v="0"/>
    <x v="0"/>
    <d v="2026-07-15T00:00:00"/>
    <d v="2026-07-18T00:00:00"/>
    <d v="2026-07-17T00:00:00"/>
    <x v="0"/>
    <n v="-1"/>
    <x v="0"/>
  </r>
  <r>
    <s v="ORD-10094"/>
    <s v="B0001XZ01"/>
    <x v="2"/>
    <x v="0"/>
    <d v="2026-07-21T00:00:00"/>
    <d v="2026-07-23T00:00:00"/>
    <d v="2026-07-23T00:00:00"/>
    <x v="0"/>
    <n v="0"/>
    <x v="0"/>
  </r>
  <r>
    <s v="ORD-10095"/>
    <s v="B0023XZ23"/>
    <x v="1"/>
    <x v="1"/>
    <d v="2026-07-08T00:00:00"/>
    <d v="2026-07-11T00:00:00"/>
    <d v="2026-07-10T00:00:00"/>
    <x v="0"/>
    <n v="-1"/>
    <x v="0"/>
  </r>
  <r>
    <s v="ORD-10096"/>
    <s v="B0013XZ13"/>
    <x v="1"/>
    <x v="0"/>
    <d v="2026-07-25T00:00:00"/>
    <d v="2026-07-28T00:00:00"/>
    <d v="2026-07-27T00:00:00"/>
    <x v="0"/>
    <n v="-1"/>
    <x v="0"/>
  </r>
  <r>
    <s v="ORD-10097"/>
    <s v="B0004XZ04"/>
    <x v="1"/>
    <x v="1"/>
    <d v="2026-07-07T00:00:00"/>
    <d v="2026-07-11T00:00:00"/>
    <d v="2026-07-11T00:00:00"/>
    <x v="0"/>
    <n v="0"/>
    <x v="0"/>
  </r>
  <r>
    <s v="ORD-10098"/>
    <s v="B0009XZ09"/>
    <x v="3"/>
    <x v="1"/>
    <d v="2026-07-11T00:00:00"/>
    <d v="2026-07-13T00:00:00"/>
    <d v="2026-07-12T00:00:00"/>
    <x v="0"/>
    <n v="-1"/>
    <x v="0"/>
  </r>
  <r>
    <s v="ORD-10099"/>
    <s v="B0029XZ29"/>
    <x v="1"/>
    <x v="1"/>
    <d v="2026-07-22T00:00:00"/>
    <d v="2026-07-26T00:00:00"/>
    <d v="2026-07-26T00:00:00"/>
    <x v="0"/>
    <n v="0"/>
    <x v="0"/>
  </r>
  <r>
    <s v="ORD-10100"/>
    <s v="B0002XZ02"/>
    <x v="3"/>
    <x v="0"/>
    <d v="2026-06-18T00:00:00"/>
    <d v="2026-06-22T00:00:00"/>
    <d v="2026-06-21T00:00:00"/>
    <x v="0"/>
    <n v="-1"/>
    <x v="0"/>
  </r>
  <r>
    <s v="ORD-10101"/>
    <s v="B0002XZ02"/>
    <x v="0"/>
    <x v="2"/>
    <d v="2026-07-31T00:00:00"/>
    <d v="2026-08-03T00:00:00"/>
    <d v="2026-08-02T00:00:00"/>
    <x v="0"/>
    <n v="-1"/>
    <x v="0"/>
  </r>
  <r>
    <s v="ORD-10102"/>
    <s v="B0009XZ09"/>
    <x v="2"/>
    <x v="0"/>
    <d v="2026-07-01T00:00:00"/>
    <d v="2026-07-04T00:00:00"/>
    <d v="2026-07-03T00:00:00"/>
    <x v="0"/>
    <n v="-1"/>
    <x v="0"/>
  </r>
  <r>
    <s v="ORD-10103"/>
    <s v="B0004XZ04"/>
    <x v="0"/>
    <x v="1"/>
    <d v="2026-06-21T00:00:00"/>
    <d v="2026-06-23T00:00:00"/>
    <d v="2026-06-30T00:00:00"/>
    <x v="2"/>
    <n v="7"/>
    <x v="1"/>
  </r>
  <r>
    <s v="ORD-10104"/>
    <s v="B0018XZ18"/>
    <x v="0"/>
    <x v="0"/>
    <d v="2026-07-13T00:00:00"/>
    <d v="2026-07-16T00:00:00"/>
    <d v="2026-07-16T00:00:00"/>
    <x v="0"/>
    <n v="0"/>
    <x v="0"/>
  </r>
  <r>
    <s v="ORD-10105"/>
    <s v="B0008XZ08"/>
    <x v="1"/>
    <x v="2"/>
    <d v="2026-07-14T00:00:00"/>
    <d v="2026-07-18T00:00:00"/>
    <d v="2026-07-20T00:00:00"/>
    <x v="4"/>
    <n v="2"/>
    <x v="1"/>
  </r>
  <r>
    <s v="ORD-10106"/>
    <s v="B0009XZ09"/>
    <x v="0"/>
    <x v="2"/>
    <d v="2026-07-23T00:00:00"/>
    <d v="2026-07-26T00:00:00"/>
    <d v="2026-07-26T00:00:00"/>
    <x v="0"/>
    <n v="0"/>
    <x v="0"/>
  </r>
  <r>
    <s v="ORD-10107"/>
    <s v="B0013XZ13"/>
    <x v="2"/>
    <x v="0"/>
    <d v="2026-06-08T00:00:00"/>
    <d v="2026-06-11T00:00:00"/>
    <d v="2026-06-14T00:00:00"/>
    <x v="3"/>
    <n v="3"/>
    <x v="1"/>
  </r>
  <r>
    <s v="ORD-10108"/>
    <s v="B0022XZ22"/>
    <x v="0"/>
    <x v="2"/>
    <d v="2026-07-05T00:00:00"/>
    <d v="2026-07-07T00:00:00"/>
    <d v="2026-07-06T00:00:00"/>
    <x v="0"/>
    <n v="-1"/>
    <x v="0"/>
  </r>
  <r>
    <s v="ORD-10109"/>
    <s v="B0014XZ14"/>
    <x v="2"/>
    <x v="2"/>
    <d v="2026-06-17T00:00:00"/>
    <d v="2026-06-19T00:00:00"/>
    <d v="2026-06-18T00:00:00"/>
    <x v="0"/>
    <n v="-1"/>
    <x v="0"/>
  </r>
  <r>
    <s v="ORD-10110"/>
    <s v="B0019XZ19"/>
    <x v="3"/>
    <x v="2"/>
    <d v="2026-06-10T00:00:00"/>
    <d v="2026-06-13T00:00:00"/>
    <d v="2026-06-12T00:00:00"/>
    <x v="0"/>
    <n v="-1"/>
    <x v="0"/>
  </r>
  <r>
    <s v="ORD-10111"/>
    <s v="B0015XZ15"/>
    <x v="0"/>
    <x v="2"/>
    <d v="2026-06-29T00:00:00"/>
    <d v="2026-07-01T00:00:00"/>
    <d v="2026-07-07T00:00:00"/>
    <x v="1"/>
    <n v="6"/>
    <x v="1"/>
  </r>
  <r>
    <s v="ORD-10112"/>
    <s v="B0027XZ27"/>
    <x v="3"/>
    <x v="2"/>
    <d v="2026-08-10T00:00:00"/>
    <d v="2026-08-12T00:00:00"/>
    <d v="2026-08-14T00:00:00"/>
    <x v="3"/>
    <n v="2"/>
    <x v="1"/>
  </r>
  <r>
    <s v="ORD-10113"/>
    <s v="B0019XZ19"/>
    <x v="1"/>
    <x v="1"/>
    <d v="2026-07-09T00:00:00"/>
    <d v="2026-07-11T00:00:00"/>
    <d v="2026-07-10T00:00:00"/>
    <x v="0"/>
    <n v="-1"/>
    <x v="0"/>
  </r>
  <r>
    <s v="ORD-10114"/>
    <s v="B0023XZ23"/>
    <x v="1"/>
    <x v="2"/>
    <d v="2026-06-10T00:00:00"/>
    <d v="2026-06-13T00:00:00"/>
    <d v="2026-06-13T00:00:00"/>
    <x v="0"/>
    <n v="0"/>
    <x v="0"/>
  </r>
  <r>
    <s v="ORD-10115"/>
    <s v="B0013XZ13"/>
    <x v="2"/>
    <x v="2"/>
    <d v="2026-06-01T00:00:00"/>
    <d v="2026-06-03T00:00:00"/>
    <d v="2026-06-02T00:00:00"/>
    <x v="0"/>
    <n v="-1"/>
    <x v="0"/>
  </r>
  <r>
    <s v="ORD-10116"/>
    <s v="B0009XZ09"/>
    <x v="2"/>
    <x v="1"/>
    <d v="2026-07-02T00:00:00"/>
    <d v="2026-07-05T00:00:00"/>
    <d v="2026-07-05T00:00:00"/>
    <x v="0"/>
    <n v="0"/>
    <x v="0"/>
  </r>
  <r>
    <s v="ORD-10117"/>
    <s v="B0001XZ01"/>
    <x v="3"/>
    <x v="1"/>
    <d v="2026-07-10T00:00:00"/>
    <d v="2026-07-12T00:00:00"/>
    <d v="2026-07-16T00:00:00"/>
    <x v="2"/>
    <n v="4"/>
    <x v="1"/>
  </r>
  <r>
    <s v="ORD-10118"/>
    <s v="B0003XZ03"/>
    <x v="2"/>
    <x v="2"/>
    <d v="2026-07-25T00:00:00"/>
    <d v="2026-07-28T00:00:00"/>
    <d v="2026-07-28T00:00:00"/>
    <x v="0"/>
    <n v="0"/>
    <x v="0"/>
  </r>
  <r>
    <s v="ORD-10119"/>
    <s v="B0023XZ23"/>
    <x v="2"/>
    <x v="1"/>
    <d v="2026-07-24T00:00:00"/>
    <d v="2026-07-27T00:00:00"/>
    <d v="2026-07-27T00:00:00"/>
    <x v="0"/>
    <n v="0"/>
    <x v="0"/>
  </r>
  <r>
    <s v="ORD-10120"/>
    <s v="B0001XZ01"/>
    <x v="2"/>
    <x v="1"/>
    <d v="2026-08-04T00:00:00"/>
    <d v="2026-08-06T00:00:00"/>
    <d v="2026-08-06T00:00:00"/>
    <x v="0"/>
    <n v="0"/>
    <x v="0"/>
  </r>
  <r>
    <s v="ORD-10121"/>
    <s v="B0010XZ10"/>
    <x v="0"/>
    <x v="2"/>
    <d v="2026-07-30T00:00:00"/>
    <d v="2026-08-01T00:00:00"/>
    <d v="2026-07-31T00:00:00"/>
    <x v="0"/>
    <n v="-1"/>
    <x v="0"/>
  </r>
  <r>
    <s v="ORD-10122"/>
    <s v="B0004XZ04"/>
    <x v="3"/>
    <x v="1"/>
    <d v="2026-06-24T00:00:00"/>
    <d v="2026-06-26T00:00:00"/>
    <d v="2026-06-26T00:00:00"/>
    <x v="0"/>
    <n v="0"/>
    <x v="0"/>
  </r>
  <r>
    <s v="ORD-10123"/>
    <s v="B0020XZ20"/>
    <x v="0"/>
    <x v="0"/>
    <d v="2026-06-07T00:00:00"/>
    <d v="2026-06-09T00:00:00"/>
    <d v="2026-06-14T00:00:00"/>
    <x v="3"/>
    <n v="5"/>
    <x v="1"/>
  </r>
  <r>
    <s v="ORD-10124"/>
    <s v="B0014XZ14"/>
    <x v="1"/>
    <x v="1"/>
    <d v="2026-06-08T00:00:00"/>
    <d v="2026-06-10T00:00:00"/>
    <d v="2026-06-09T00:00:00"/>
    <x v="0"/>
    <n v="-1"/>
    <x v="0"/>
  </r>
  <r>
    <s v="ORD-10125"/>
    <s v="B0024XZ24"/>
    <x v="1"/>
    <x v="2"/>
    <d v="2026-06-22T00:00:00"/>
    <d v="2026-06-25T00:00:00"/>
    <d v="2026-07-01T00:00:00"/>
    <x v="2"/>
    <n v="6"/>
    <x v="1"/>
  </r>
  <r>
    <s v="ORD-10126"/>
    <s v="B0002XZ02"/>
    <x v="2"/>
    <x v="1"/>
    <d v="2026-07-19T00:00:00"/>
    <d v="2026-07-22T00:00:00"/>
    <d v="2026-07-21T00:00:00"/>
    <x v="0"/>
    <n v="-1"/>
    <x v="0"/>
  </r>
  <r>
    <s v="ORD-10127"/>
    <s v="B0006XZ06"/>
    <x v="1"/>
    <x v="2"/>
    <d v="2026-06-11T00:00:00"/>
    <d v="2026-06-14T00:00:00"/>
    <d v="2026-06-18T00:00:00"/>
    <x v="1"/>
    <n v="4"/>
    <x v="1"/>
  </r>
  <r>
    <s v="ORD-10128"/>
    <s v="B0018XZ18"/>
    <x v="0"/>
    <x v="0"/>
    <d v="2026-07-16T00:00:00"/>
    <d v="2026-07-19T00:00:00"/>
    <d v="2026-07-18T00:00:00"/>
    <x v="0"/>
    <n v="-1"/>
    <x v="0"/>
  </r>
  <r>
    <s v="ORD-10129"/>
    <s v="B0003XZ03"/>
    <x v="1"/>
    <x v="1"/>
    <d v="2026-07-31T00:00:00"/>
    <d v="2026-08-02T00:00:00"/>
    <d v="2026-08-01T00:00:00"/>
    <x v="0"/>
    <n v="-1"/>
    <x v="0"/>
  </r>
  <r>
    <s v="ORD-10130"/>
    <s v="B0007XZ07"/>
    <x v="2"/>
    <x v="0"/>
    <d v="2026-07-31T00:00:00"/>
    <d v="2026-08-02T00:00:00"/>
    <d v="2026-08-02T00:00:00"/>
    <x v="0"/>
    <n v="0"/>
    <x v="0"/>
  </r>
  <r>
    <s v="ORD-10131"/>
    <s v="B0026XZ26"/>
    <x v="3"/>
    <x v="2"/>
    <d v="2026-07-19T00:00:00"/>
    <d v="2026-07-21T00:00:00"/>
    <d v="2026-07-21T00:00:00"/>
    <x v="0"/>
    <n v="0"/>
    <x v="0"/>
  </r>
  <r>
    <s v="ORD-10132"/>
    <s v="B0009XZ09"/>
    <x v="0"/>
    <x v="1"/>
    <d v="2026-06-09T00:00:00"/>
    <d v="2026-06-13T00:00:00"/>
    <d v="2026-06-12T00:00:00"/>
    <x v="0"/>
    <n v="-1"/>
    <x v="0"/>
  </r>
  <r>
    <s v="ORD-10133"/>
    <s v="B0011XZ11"/>
    <x v="1"/>
    <x v="0"/>
    <d v="2026-07-11T00:00:00"/>
    <d v="2026-07-14T00:00:00"/>
    <d v="2026-07-20T00:00:00"/>
    <x v="1"/>
    <n v="6"/>
    <x v="1"/>
  </r>
  <r>
    <s v="ORD-10134"/>
    <s v="B0001XZ01"/>
    <x v="0"/>
    <x v="2"/>
    <d v="2026-07-31T00:00:00"/>
    <d v="2026-08-04T00:00:00"/>
    <d v="2026-08-03T00:00:00"/>
    <x v="0"/>
    <n v="-1"/>
    <x v="0"/>
  </r>
  <r>
    <s v="ORD-10135"/>
    <s v="B0026XZ26"/>
    <x v="2"/>
    <x v="0"/>
    <d v="2026-08-03T00:00:00"/>
    <d v="2026-08-05T00:00:00"/>
    <d v="2026-08-05T00:00:00"/>
    <x v="0"/>
    <n v="0"/>
    <x v="0"/>
  </r>
  <r>
    <s v="ORD-10136"/>
    <s v="B0001XZ01"/>
    <x v="2"/>
    <x v="1"/>
    <d v="2026-06-20T00:00:00"/>
    <d v="2026-06-24T00:00:00"/>
    <d v="2026-06-23T00:00:00"/>
    <x v="0"/>
    <n v="-1"/>
    <x v="0"/>
  </r>
  <r>
    <s v="ORD-10137"/>
    <s v="B0015XZ15"/>
    <x v="2"/>
    <x v="1"/>
    <d v="2026-06-11T00:00:00"/>
    <d v="2026-06-15T00:00:00"/>
    <d v="2026-06-22T00:00:00"/>
    <x v="3"/>
    <n v="7"/>
    <x v="1"/>
  </r>
  <r>
    <s v="ORD-10138"/>
    <s v="B0008XZ08"/>
    <x v="3"/>
    <x v="2"/>
    <d v="2026-06-05T00:00:00"/>
    <d v="2026-06-08T00:00:00"/>
    <d v="2026-06-07T00:00:00"/>
    <x v="0"/>
    <n v="-1"/>
    <x v="0"/>
  </r>
  <r>
    <s v="ORD-10139"/>
    <s v="B0006XZ06"/>
    <x v="3"/>
    <x v="2"/>
    <d v="2026-06-10T00:00:00"/>
    <d v="2026-06-13T00:00:00"/>
    <d v="2026-06-13T00:00:00"/>
    <x v="0"/>
    <n v="0"/>
    <x v="0"/>
  </r>
  <r>
    <s v="ORD-10140"/>
    <s v="B0004XZ04"/>
    <x v="3"/>
    <x v="0"/>
    <d v="2026-07-28T00:00:00"/>
    <d v="2026-07-30T00:00:00"/>
    <d v="2026-08-03T00:00:00"/>
    <x v="2"/>
    <n v="4"/>
    <x v="1"/>
  </r>
  <r>
    <s v="ORD-10141"/>
    <s v="B0020XZ20"/>
    <x v="0"/>
    <x v="1"/>
    <d v="2026-08-08T00:00:00"/>
    <d v="2026-08-12T00:00:00"/>
    <d v="2026-08-11T00:00:00"/>
    <x v="0"/>
    <n v="-1"/>
    <x v="0"/>
  </r>
  <r>
    <s v="ORD-10142"/>
    <s v="B0010XZ10"/>
    <x v="2"/>
    <x v="1"/>
    <d v="2026-07-05T00:00:00"/>
    <d v="2026-07-08T00:00:00"/>
    <d v="2026-07-07T00:00:00"/>
    <x v="0"/>
    <n v="-1"/>
    <x v="0"/>
  </r>
  <r>
    <s v="ORD-10143"/>
    <s v="B0007XZ07"/>
    <x v="3"/>
    <x v="2"/>
    <d v="2026-06-24T00:00:00"/>
    <d v="2026-06-26T00:00:00"/>
    <d v="2026-06-29T00:00:00"/>
    <x v="3"/>
    <n v="3"/>
    <x v="1"/>
  </r>
  <r>
    <s v="ORD-10144"/>
    <s v="B0011XZ11"/>
    <x v="1"/>
    <x v="0"/>
    <d v="2026-07-03T00:00:00"/>
    <d v="2026-07-05T00:00:00"/>
    <d v="2026-07-05T00:00:00"/>
    <x v="0"/>
    <n v="0"/>
    <x v="0"/>
  </r>
  <r>
    <s v="ORD-10145"/>
    <s v="B0021XZ21"/>
    <x v="1"/>
    <x v="1"/>
    <d v="2026-07-30T00:00:00"/>
    <d v="2026-08-01T00:00:00"/>
    <d v="2026-08-05T00:00:00"/>
    <x v="3"/>
    <n v="4"/>
    <x v="1"/>
  </r>
  <r>
    <s v="ORD-10146"/>
    <s v="B0027XZ27"/>
    <x v="3"/>
    <x v="0"/>
    <d v="2026-06-06T00:00:00"/>
    <d v="2026-06-09T00:00:00"/>
    <d v="2026-06-10T00:00:00"/>
    <x v="3"/>
    <n v="1"/>
    <x v="1"/>
  </r>
  <r>
    <s v="ORD-10147"/>
    <s v="B0020XZ20"/>
    <x v="0"/>
    <x v="2"/>
    <d v="2026-07-18T00:00:00"/>
    <d v="2026-07-22T00:00:00"/>
    <d v="2026-07-21T00:00:00"/>
    <x v="0"/>
    <n v="-1"/>
    <x v="0"/>
  </r>
  <r>
    <s v="ORD-10148"/>
    <s v="B0020XZ20"/>
    <x v="2"/>
    <x v="1"/>
    <d v="2026-06-01T00:00:00"/>
    <d v="2026-06-03T00:00:00"/>
    <d v="2026-06-02T00:00:00"/>
    <x v="0"/>
    <n v="-1"/>
    <x v="0"/>
  </r>
  <r>
    <s v="ORD-10149"/>
    <s v="B0007XZ07"/>
    <x v="1"/>
    <x v="0"/>
    <d v="2026-07-14T00:00:00"/>
    <d v="2026-07-16T00:00:00"/>
    <d v="2026-07-19T00:00:00"/>
    <x v="1"/>
    <n v="3"/>
    <x v="1"/>
  </r>
  <r>
    <s v="ORD-10150"/>
    <s v="B0020XZ20"/>
    <x v="0"/>
    <x v="2"/>
    <d v="2026-07-12T00:00:00"/>
    <d v="2026-07-15T00:00:00"/>
    <d v="2026-07-15T00:00:00"/>
    <x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ECC41D-A14B-4407-9E79-8F82B87E217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N5:O22" firstHeaderRow="1" firstDataRow="1" firstDataCol="1" rowPageCount="1" colPageCount="1"/>
  <pivotFields count="10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axis="axisPage" multipleItemSelectionAllowed="1" showAll="0">
      <items count="3">
        <item x="1"/>
        <item h="1" x="0"/>
        <item t="default"/>
      </items>
    </pivotField>
  </pivotFields>
  <rowFields count="2">
    <field x="2"/>
    <field x="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9" hier="-1"/>
  </pageFields>
  <dataFields count="1">
    <dataField name="Count of Actual Delivery Date" fld="6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8B6CB-1BFD-412A-8923-9FCDEBB4DE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20" firstHeaderRow="1" firstDataRow="1" firstDataCol="1" rowPageCount="1" colPageCount="1"/>
  <pivotFields count="10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numFmtId="164" showAll="0"/>
    <pivotField numFmtId="164" showAll="0"/>
    <pivotField numFmtId="164" showAll="0"/>
    <pivotField showAll="0">
      <items count="6">
        <item x="3"/>
        <item x="4"/>
        <item x="0"/>
        <item x="2"/>
        <item x="1"/>
        <item t="default"/>
      </items>
    </pivotField>
    <pivotField dataField="1" showAll="0"/>
    <pivotField axis="axisPage" multipleItemSelectionAllowed="1" showAll="0">
      <items count="3">
        <item x="1"/>
        <item h="1" x="0"/>
        <item t="default"/>
      </items>
    </pivotField>
  </pivotFields>
  <rowFields count="2">
    <field x="2"/>
    <field x="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9" hier="-1"/>
  </pageFields>
  <dataFields count="1">
    <dataField name="Average of Delay (Days)" fld="8" subtotal="average" baseField="2" baseItem="0"/>
  </dataField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FAB60-2110-412A-BE78-3A87E6C99F2C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20" firstHeaderRow="1" firstDataRow="1" firstDataCol="1" rowPageCount="1" colPageCount="1"/>
  <pivotFields count="10"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axis="axisRow" showAll="0">
      <items count="4">
        <item x="2"/>
        <item x="0"/>
        <item x="1"/>
        <item t="default"/>
      </items>
    </pivotField>
    <pivotField numFmtId="164" showAll="0"/>
    <pivotField numFmtId="164" showAll="0"/>
    <pivotField dataField="1" numFmtId="164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2">
    <field x="2"/>
    <field x="3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pageFields count="1">
    <pageField fld="9" hier="-1"/>
  </pageFields>
  <dataFields count="1">
    <dataField name="Count of Actual Delivery Date" fld="6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Orders" displayName="tbl_Orders" ref="A1:J151" totalsRowShown="0">
  <autoFilter ref="A1:J151" xr:uid="{00000000-0009-0000-0100-000001000000}"/>
  <tableColumns count="10">
    <tableColumn id="1" xr3:uid="{00000000-0010-0000-0000-000001000000}" name="Order ID"/>
    <tableColumn id="2" xr3:uid="{00000000-0010-0000-0000-000002000000}" name="ASIN"/>
    <tableColumn id="3" xr3:uid="{00000000-0010-0000-0000-000003000000}" name="Region"/>
    <tableColumn id="4" xr3:uid="{00000000-0010-0000-0000-000004000000}" name="Courier"/>
    <tableColumn id="5" xr3:uid="{00000000-0010-0000-0000-000005000000}" name="Order Date"/>
    <tableColumn id="6" xr3:uid="{00000000-0010-0000-0000-000006000000}" name="Promised Delivery Date"/>
    <tableColumn id="7" xr3:uid="{00000000-0010-0000-0000-000007000000}" name="Actual Delivery Date"/>
    <tableColumn id="8" xr3:uid="{00000000-0010-0000-0000-000008000000}" name="Delay Reason"/>
    <tableColumn id="9" xr3:uid="{00000000-0010-0000-0000-000009000000}" name="Delay (Days)">
      <calculatedColumnFormula>G2-F2</calculatedColumnFormula>
    </tableColumn>
    <tableColumn id="10" xr3:uid="{00000000-0010-0000-0000-00000A000000}" name="Delivery Status">
      <calculatedColumnFormula>IF(I2&gt;0,"Delayed","On Time")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B57D-A9F5-41F8-A782-E85BD36C91A5}">
  <dimension ref="A1:O22"/>
  <sheetViews>
    <sheetView zoomScale="62" zoomScaleNormal="62" workbookViewId="0">
      <selection activeCell="T39" sqref="T39"/>
    </sheetView>
  </sheetViews>
  <sheetFormatPr defaultRowHeight="14.4" x14ac:dyDescent="0.3"/>
  <cols>
    <col min="1" max="1" width="14" bestFit="1" customWidth="1"/>
    <col min="2" max="2" width="22" bestFit="1" customWidth="1"/>
    <col min="3" max="3" width="20.21875" bestFit="1" customWidth="1"/>
    <col min="14" max="14" width="14.5546875" bestFit="1" customWidth="1"/>
    <col min="15" max="15" width="34.33203125" customWidth="1"/>
  </cols>
  <sheetData>
    <row r="1" spans="1:15" x14ac:dyDescent="0.3">
      <c r="A1" s="6" t="s">
        <v>9</v>
      </c>
      <c r="B1" t="s">
        <v>209</v>
      </c>
    </row>
    <row r="3" spans="1:15" x14ac:dyDescent="0.3">
      <c r="A3" s="6" t="s">
        <v>205</v>
      </c>
      <c r="B3" t="s">
        <v>207</v>
      </c>
      <c r="N3" s="6" t="s">
        <v>9</v>
      </c>
      <c r="O3" t="s">
        <v>209</v>
      </c>
    </row>
    <row r="4" spans="1:15" x14ac:dyDescent="0.3">
      <c r="A4" s="7" t="s">
        <v>32</v>
      </c>
      <c r="B4">
        <v>3.1666666666666665</v>
      </c>
    </row>
    <row r="5" spans="1:15" x14ac:dyDescent="0.3">
      <c r="A5" s="8" t="s">
        <v>26</v>
      </c>
      <c r="B5">
        <v>3.5</v>
      </c>
      <c r="N5" s="6" t="s">
        <v>205</v>
      </c>
      <c r="O5" t="s">
        <v>210</v>
      </c>
    </row>
    <row r="6" spans="1:15" x14ac:dyDescent="0.3">
      <c r="A6" s="8" t="s">
        <v>13</v>
      </c>
      <c r="B6">
        <v>3</v>
      </c>
      <c r="N6" s="7" t="s">
        <v>32</v>
      </c>
      <c r="O6">
        <v>6</v>
      </c>
    </row>
    <row r="7" spans="1:15" x14ac:dyDescent="0.3">
      <c r="A7" s="8" t="s">
        <v>18</v>
      </c>
      <c r="B7">
        <v>3</v>
      </c>
      <c r="N7" s="8" t="s">
        <v>26</v>
      </c>
      <c r="O7">
        <v>2</v>
      </c>
    </row>
    <row r="8" spans="1:15" x14ac:dyDescent="0.3">
      <c r="A8" s="7" t="s">
        <v>17</v>
      </c>
      <c r="B8">
        <v>3.5882352941176472</v>
      </c>
      <c r="N8" s="8" t="s">
        <v>13</v>
      </c>
      <c r="O8">
        <v>1</v>
      </c>
    </row>
    <row r="9" spans="1:15" x14ac:dyDescent="0.3">
      <c r="A9" s="8" t="s">
        <v>26</v>
      </c>
      <c r="B9">
        <v>3</v>
      </c>
      <c r="N9" s="8" t="s">
        <v>18</v>
      </c>
      <c r="O9">
        <v>3</v>
      </c>
    </row>
    <row r="10" spans="1:15" x14ac:dyDescent="0.3">
      <c r="A10" s="8" t="s">
        <v>13</v>
      </c>
      <c r="B10">
        <v>4</v>
      </c>
      <c r="N10" s="7" t="s">
        <v>17</v>
      </c>
      <c r="O10">
        <v>17</v>
      </c>
    </row>
    <row r="11" spans="1:15" x14ac:dyDescent="0.3">
      <c r="A11" s="8" t="s">
        <v>18</v>
      </c>
      <c r="B11">
        <v>3.7142857142857144</v>
      </c>
      <c r="N11" s="8" t="s">
        <v>26</v>
      </c>
      <c r="O11">
        <v>5</v>
      </c>
    </row>
    <row r="12" spans="1:15" x14ac:dyDescent="0.3">
      <c r="A12" s="7" t="s">
        <v>12</v>
      </c>
      <c r="B12">
        <v>4.2222222222222223</v>
      </c>
      <c r="N12" s="8" t="s">
        <v>13</v>
      </c>
      <c r="O12">
        <v>5</v>
      </c>
    </row>
    <row r="13" spans="1:15" x14ac:dyDescent="0.3">
      <c r="A13" s="8" t="s">
        <v>26</v>
      </c>
      <c r="B13">
        <v>4</v>
      </c>
      <c r="N13" s="8" t="s">
        <v>18</v>
      </c>
      <c r="O13">
        <v>7</v>
      </c>
    </row>
    <row r="14" spans="1:15" x14ac:dyDescent="0.3">
      <c r="A14" s="8" t="s">
        <v>13</v>
      </c>
      <c r="B14">
        <v>3.8</v>
      </c>
      <c r="N14" s="7" t="s">
        <v>12</v>
      </c>
      <c r="O14">
        <v>9</v>
      </c>
    </row>
    <row r="15" spans="1:15" x14ac:dyDescent="0.3">
      <c r="A15" s="8" t="s">
        <v>18</v>
      </c>
      <c r="B15">
        <v>7</v>
      </c>
      <c r="N15" s="8" t="s">
        <v>26</v>
      </c>
      <c r="O15">
        <v>3</v>
      </c>
    </row>
    <row r="16" spans="1:15" x14ac:dyDescent="0.3">
      <c r="A16" s="7" t="s">
        <v>38</v>
      </c>
      <c r="B16">
        <v>3.1333333333333333</v>
      </c>
      <c r="N16" s="8" t="s">
        <v>13</v>
      </c>
      <c r="O16">
        <v>5</v>
      </c>
    </row>
    <row r="17" spans="1:15" x14ac:dyDescent="0.3">
      <c r="A17" s="8" t="s">
        <v>26</v>
      </c>
      <c r="B17">
        <v>2.3333333333333335</v>
      </c>
      <c r="N17" s="8" t="s">
        <v>18</v>
      </c>
      <c r="O17">
        <v>1</v>
      </c>
    </row>
    <row r="18" spans="1:15" x14ac:dyDescent="0.3">
      <c r="A18" s="8" t="s">
        <v>13</v>
      </c>
      <c r="B18">
        <v>3.5714285714285716</v>
      </c>
      <c r="N18" s="7" t="s">
        <v>38</v>
      </c>
      <c r="O18">
        <v>15</v>
      </c>
    </row>
    <row r="19" spans="1:15" x14ac:dyDescent="0.3">
      <c r="A19" s="8" t="s">
        <v>18</v>
      </c>
      <c r="B19">
        <v>3</v>
      </c>
      <c r="N19" s="8" t="s">
        <v>26</v>
      </c>
      <c r="O19">
        <v>3</v>
      </c>
    </row>
    <row r="20" spans="1:15" x14ac:dyDescent="0.3">
      <c r="A20" s="7" t="s">
        <v>206</v>
      </c>
      <c r="B20">
        <v>3.5106382978723403</v>
      </c>
      <c r="N20" s="8" t="s">
        <v>13</v>
      </c>
      <c r="O20">
        <v>7</v>
      </c>
    </row>
    <row r="21" spans="1:15" x14ac:dyDescent="0.3">
      <c r="N21" s="8" t="s">
        <v>18</v>
      </c>
      <c r="O21">
        <v>5</v>
      </c>
    </row>
    <row r="22" spans="1:15" x14ac:dyDescent="0.3">
      <c r="N22" s="7" t="s">
        <v>206</v>
      </c>
      <c r="O22">
        <v>47</v>
      </c>
    </row>
  </sheetData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C1BE0-532B-464B-AD2F-C592D088DCF7}">
  <dimension ref="A1:B20"/>
  <sheetViews>
    <sheetView workbookViewId="0">
      <selection sqref="A1:B21"/>
    </sheetView>
  </sheetViews>
  <sheetFormatPr defaultRowHeight="14.4" x14ac:dyDescent="0.3"/>
  <cols>
    <col min="1" max="1" width="13.5546875" bestFit="1" customWidth="1"/>
    <col min="2" max="2" width="26.109375" bestFit="1" customWidth="1"/>
  </cols>
  <sheetData>
    <row r="1" spans="1:2" x14ac:dyDescent="0.3">
      <c r="A1" s="6" t="s">
        <v>9</v>
      </c>
      <c r="B1" t="s">
        <v>208</v>
      </c>
    </row>
    <row r="3" spans="1:2" x14ac:dyDescent="0.3">
      <c r="A3" s="6" t="s">
        <v>205</v>
      </c>
      <c r="B3" t="s">
        <v>210</v>
      </c>
    </row>
    <row r="4" spans="1:2" x14ac:dyDescent="0.3">
      <c r="A4" s="7" t="s">
        <v>32</v>
      </c>
      <c r="B4">
        <v>36</v>
      </c>
    </row>
    <row r="5" spans="1:2" x14ac:dyDescent="0.3">
      <c r="A5" s="8" t="s">
        <v>26</v>
      </c>
      <c r="B5">
        <v>11</v>
      </c>
    </row>
    <row r="6" spans="1:2" x14ac:dyDescent="0.3">
      <c r="A6" s="8" t="s">
        <v>13</v>
      </c>
      <c r="B6">
        <v>12</v>
      </c>
    </row>
    <row r="7" spans="1:2" x14ac:dyDescent="0.3">
      <c r="A7" s="8" t="s">
        <v>18</v>
      </c>
      <c r="B7">
        <v>13</v>
      </c>
    </row>
    <row r="8" spans="1:2" x14ac:dyDescent="0.3">
      <c r="A8" s="7" t="s">
        <v>17</v>
      </c>
      <c r="B8">
        <v>40</v>
      </c>
    </row>
    <row r="9" spans="1:2" x14ac:dyDescent="0.3">
      <c r="A9" s="8" t="s">
        <v>26</v>
      </c>
      <c r="B9">
        <v>10</v>
      </c>
    </row>
    <row r="10" spans="1:2" x14ac:dyDescent="0.3">
      <c r="A10" s="8" t="s">
        <v>13</v>
      </c>
      <c r="B10">
        <v>11</v>
      </c>
    </row>
    <row r="11" spans="1:2" x14ac:dyDescent="0.3">
      <c r="A11" s="8" t="s">
        <v>18</v>
      </c>
      <c r="B11">
        <v>19</v>
      </c>
    </row>
    <row r="12" spans="1:2" x14ac:dyDescent="0.3">
      <c r="A12" s="7" t="s">
        <v>12</v>
      </c>
      <c r="B12">
        <v>40</v>
      </c>
    </row>
    <row r="13" spans="1:2" x14ac:dyDescent="0.3">
      <c r="A13" s="8" t="s">
        <v>26</v>
      </c>
      <c r="B13">
        <v>16</v>
      </c>
    </row>
    <row r="14" spans="1:2" x14ac:dyDescent="0.3">
      <c r="A14" s="8" t="s">
        <v>13</v>
      </c>
      <c r="B14">
        <v>12</v>
      </c>
    </row>
    <row r="15" spans="1:2" x14ac:dyDescent="0.3">
      <c r="A15" s="8" t="s">
        <v>18</v>
      </c>
      <c r="B15">
        <v>12</v>
      </c>
    </row>
    <row r="16" spans="1:2" x14ac:dyDescent="0.3">
      <c r="A16" s="7" t="s">
        <v>38</v>
      </c>
      <c r="B16">
        <v>34</v>
      </c>
    </row>
    <row r="17" spans="1:2" x14ac:dyDescent="0.3">
      <c r="A17" s="8" t="s">
        <v>26</v>
      </c>
      <c r="B17">
        <v>12</v>
      </c>
    </row>
    <row r="18" spans="1:2" x14ac:dyDescent="0.3">
      <c r="A18" s="8" t="s">
        <v>13</v>
      </c>
      <c r="B18">
        <v>10</v>
      </c>
    </row>
    <row r="19" spans="1:2" x14ac:dyDescent="0.3">
      <c r="A19" s="8" t="s">
        <v>18</v>
      </c>
      <c r="B19">
        <v>12</v>
      </c>
    </row>
    <row r="20" spans="1:2" x14ac:dyDescent="0.3">
      <c r="A20" s="7" t="s">
        <v>206</v>
      </c>
      <c r="B20">
        <v>150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1"/>
  <sheetViews>
    <sheetView tabSelected="1" topLeftCell="E1" workbookViewId="0">
      <pane ySplit="1" topLeftCell="A2" activePane="bottomLeft" state="frozen"/>
      <selection pane="bottomLeft" activeCell="C15" sqref="C15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0" customWidth="1"/>
    <col min="4" max="4" width="12" customWidth="1"/>
    <col min="5" max="5" width="14" customWidth="1"/>
    <col min="6" max="7" width="18" customWidth="1"/>
    <col min="8" max="8" width="16" customWidth="1"/>
    <col min="9" max="9" width="12" customWidth="1"/>
    <col min="10" max="10" width="14" customWidth="1"/>
    <col min="12" max="12" width="7" customWidth="1"/>
    <col min="13" max="13" width="8.6640625" style="9"/>
    <col min="14" max="14" width="13.44140625" style="11" customWidth="1"/>
    <col min="15" max="15" width="15.77734375" style="11" customWidth="1"/>
    <col min="16" max="16" width="14.88671875" style="9" customWidth="1"/>
    <col min="17" max="17" width="12.6640625" style="9" customWidth="1"/>
    <col min="18" max="18" width="14.5546875" style="9" customWidth="1"/>
  </cols>
  <sheetData>
    <row r="1" spans="1:18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O1" s="9"/>
    </row>
    <row r="2" spans="1:18" x14ac:dyDescent="0.3">
      <c r="A2" s="2" t="s">
        <v>10</v>
      </c>
      <c r="B2" s="2" t="s">
        <v>11</v>
      </c>
      <c r="C2" s="2" t="s">
        <v>12</v>
      </c>
      <c r="D2" s="2" t="s">
        <v>13</v>
      </c>
      <c r="E2" s="3">
        <v>46180</v>
      </c>
      <c r="F2" s="3">
        <v>46182</v>
      </c>
      <c r="G2" s="3">
        <v>46182</v>
      </c>
      <c r="H2" s="2" t="s">
        <v>14</v>
      </c>
      <c r="I2" s="2">
        <f t="shared" ref="I2:I65" si="0">G2-F2</f>
        <v>0</v>
      </c>
      <c r="J2" s="2" t="str">
        <f t="shared" ref="J2:J65" si="1">IF(I2&gt;0,"Delayed","On Time")</f>
        <v>On Time</v>
      </c>
    </row>
    <row r="3" spans="1:18" x14ac:dyDescent="0.3">
      <c r="A3" s="2" t="s">
        <v>15</v>
      </c>
      <c r="B3" s="2" t="s">
        <v>16</v>
      </c>
      <c r="C3" s="2" t="s">
        <v>17</v>
      </c>
      <c r="D3" s="2" t="s">
        <v>18</v>
      </c>
      <c r="E3" s="3">
        <v>46201</v>
      </c>
      <c r="F3" s="3">
        <v>46203</v>
      </c>
      <c r="G3" s="3">
        <v>46207</v>
      </c>
      <c r="H3" s="2" t="s">
        <v>19</v>
      </c>
      <c r="I3" s="2">
        <f t="shared" si="0"/>
        <v>4</v>
      </c>
      <c r="J3" s="2" t="str">
        <f t="shared" si="1"/>
        <v>Delayed</v>
      </c>
    </row>
    <row r="4" spans="1:18" x14ac:dyDescent="0.3">
      <c r="A4" s="2" t="s">
        <v>20</v>
      </c>
      <c r="B4" s="2" t="s">
        <v>21</v>
      </c>
      <c r="C4" s="2" t="s">
        <v>17</v>
      </c>
      <c r="D4" s="2" t="s">
        <v>18</v>
      </c>
      <c r="E4" s="3">
        <v>46228</v>
      </c>
      <c r="F4" s="3">
        <v>46230</v>
      </c>
      <c r="G4" s="3">
        <v>46230</v>
      </c>
      <c r="H4" s="2" t="s">
        <v>14</v>
      </c>
      <c r="I4" s="2">
        <f t="shared" si="0"/>
        <v>0</v>
      </c>
      <c r="J4" s="2" t="str">
        <f t="shared" si="1"/>
        <v>On Time</v>
      </c>
    </row>
    <row r="5" spans="1:18" x14ac:dyDescent="0.3">
      <c r="A5" s="2" t="s">
        <v>22</v>
      </c>
      <c r="B5" s="2" t="s">
        <v>21</v>
      </c>
      <c r="C5" s="2" t="s">
        <v>17</v>
      </c>
      <c r="D5" s="2" t="s">
        <v>18</v>
      </c>
      <c r="E5" s="3">
        <v>46248</v>
      </c>
      <c r="F5" s="3">
        <v>46251</v>
      </c>
      <c r="G5" s="3">
        <v>46253</v>
      </c>
      <c r="H5" s="2" t="s">
        <v>19</v>
      </c>
      <c r="I5" s="2">
        <f t="shared" si="0"/>
        <v>2</v>
      </c>
      <c r="J5" s="2" t="str">
        <f t="shared" si="1"/>
        <v>Delayed</v>
      </c>
    </row>
    <row r="6" spans="1:18" x14ac:dyDescent="0.3">
      <c r="A6" s="2" t="s">
        <v>23</v>
      </c>
      <c r="B6" s="2" t="s">
        <v>24</v>
      </c>
      <c r="C6" s="2" t="s">
        <v>12</v>
      </c>
      <c r="D6" s="2" t="s">
        <v>13</v>
      </c>
      <c r="E6" s="3">
        <v>46227</v>
      </c>
      <c r="F6" s="3">
        <v>46229</v>
      </c>
      <c r="G6" s="3">
        <v>46228</v>
      </c>
      <c r="H6" s="2" t="s">
        <v>14</v>
      </c>
      <c r="I6" s="2">
        <f t="shared" si="0"/>
        <v>-1</v>
      </c>
      <c r="J6" s="2" t="str">
        <f t="shared" si="1"/>
        <v>On Time</v>
      </c>
    </row>
    <row r="7" spans="1:18" x14ac:dyDescent="0.3">
      <c r="A7" s="2" t="s">
        <v>25</v>
      </c>
      <c r="B7" s="2" t="s">
        <v>24</v>
      </c>
      <c r="C7" s="2" t="s">
        <v>12</v>
      </c>
      <c r="D7" s="2" t="s">
        <v>26</v>
      </c>
      <c r="E7" s="3">
        <v>46248</v>
      </c>
      <c r="F7" s="3">
        <v>46252</v>
      </c>
      <c r="G7" s="3">
        <v>46251</v>
      </c>
      <c r="H7" s="2" t="s">
        <v>14</v>
      </c>
      <c r="I7" s="2">
        <f t="shared" si="0"/>
        <v>-1</v>
      </c>
      <c r="J7" s="2" t="str">
        <f t="shared" si="1"/>
        <v>On Time</v>
      </c>
    </row>
    <row r="8" spans="1:18" x14ac:dyDescent="0.3">
      <c r="A8" s="2" t="s">
        <v>27</v>
      </c>
      <c r="B8" s="2" t="s">
        <v>28</v>
      </c>
      <c r="C8" s="2" t="s">
        <v>17</v>
      </c>
      <c r="D8" s="2" t="s">
        <v>18</v>
      </c>
      <c r="E8" s="3">
        <v>46181</v>
      </c>
      <c r="F8" s="3">
        <v>46185</v>
      </c>
      <c r="G8" s="3">
        <v>46191</v>
      </c>
      <c r="H8" s="2" t="s">
        <v>29</v>
      </c>
      <c r="I8" s="2">
        <f t="shared" si="0"/>
        <v>6</v>
      </c>
      <c r="J8" s="2" t="str">
        <f t="shared" si="1"/>
        <v>Delayed</v>
      </c>
      <c r="M8" s="10" t="s">
        <v>2</v>
      </c>
      <c r="N8" s="12" t="s">
        <v>203</v>
      </c>
      <c r="O8" s="12" t="s">
        <v>204</v>
      </c>
      <c r="P8" s="10" t="s">
        <v>200</v>
      </c>
      <c r="Q8" s="10" t="s">
        <v>201</v>
      </c>
      <c r="R8" s="10" t="s">
        <v>201</v>
      </c>
    </row>
    <row r="9" spans="1:18" x14ac:dyDescent="0.3">
      <c r="A9" s="2" t="s">
        <v>30</v>
      </c>
      <c r="B9" s="2" t="s">
        <v>31</v>
      </c>
      <c r="C9" s="2" t="s">
        <v>32</v>
      </c>
      <c r="D9" s="2" t="s">
        <v>13</v>
      </c>
      <c r="E9" s="3">
        <v>46248</v>
      </c>
      <c r="F9" s="3">
        <v>46251</v>
      </c>
      <c r="G9" s="3">
        <v>46251</v>
      </c>
      <c r="H9" s="2" t="s">
        <v>14</v>
      </c>
      <c r="I9" s="2">
        <f t="shared" si="0"/>
        <v>0</v>
      </c>
      <c r="J9" s="2" t="str">
        <f t="shared" si="1"/>
        <v>On Time</v>
      </c>
      <c r="M9" s="10" t="s">
        <v>17</v>
      </c>
      <c r="N9" s="11">
        <f ca="1">COUNTIFS('Raw Data'!N:N,M9)</f>
        <v>40</v>
      </c>
      <c r="O9" s="11">
        <f ca="1">COUNTIFS('Raw Data'!N:N,M9,'Raw Data'!U:U,"Delayed")</f>
        <v>17</v>
      </c>
      <c r="P9" s="9">
        <f ca="1">(N9-O9)/N9</f>
        <v>0.57499999999999996</v>
      </c>
      <c r="Q9" s="9">
        <f ca="1">IFERROR(AVERAGEIFS('Raw Data'!T:T,'Raw Data'!N:N,M9,'Raw Data'!U:U,"Delayed"),0)</f>
        <v>3.5882352941176472</v>
      </c>
      <c r="R9" s="9">
        <f ca="1">IFERROR(AVERAGEIFS('Raw Data'!U:U,'Raw Data'!O:O,N9,'Raw Data'!V:V,"Delayed"),0)</f>
        <v>3.5882352941176472</v>
      </c>
    </row>
    <row r="10" spans="1:18" x14ac:dyDescent="0.3">
      <c r="A10" s="2" t="s">
        <v>33</v>
      </c>
      <c r="B10" s="2" t="s">
        <v>34</v>
      </c>
      <c r="C10" s="2" t="s">
        <v>12</v>
      </c>
      <c r="D10" s="2" t="s">
        <v>18</v>
      </c>
      <c r="E10" s="3">
        <v>46205</v>
      </c>
      <c r="F10" s="3">
        <v>46207</v>
      </c>
      <c r="G10" s="3">
        <v>46206</v>
      </c>
      <c r="H10" s="2" t="s">
        <v>14</v>
      </c>
      <c r="I10" s="2">
        <f t="shared" si="0"/>
        <v>-1</v>
      </c>
      <c r="J10" s="2" t="str">
        <f t="shared" si="1"/>
        <v>On Time</v>
      </c>
      <c r="M10" s="10" t="s">
        <v>12</v>
      </c>
      <c r="N10" s="11">
        <f ca="1">COUNTIFS('Raw Data'!N:N,M10)</f>
        <v>40</v>
      </c>
      <c r="O10" s="11">
        <f ca="1">COUNTIFS('Raw Data'!N:N,M10,'Raw Data'!U:U,"Delayed")</f>
        <v>9</v>
      </c>
      <c r="P10" s="9">
        <f t="shared" ref="P10:P12" ca="1" si="2">(N10-O10)/N10</f>
        <v>0.77500000000000002</v>
      </c>
      <c r="Q10" s="9">
        <f ca="1">IFERROR(AVERAGEIFS('Raw Data'!T:T,'Raw Data'!N:N,M10,'Raw Data'!U:U,"Delayed"),0)</f>
        <v>4.2222222222222223</v>
      </c>
      <c r="R10" s="9">
        <f ca="1">IFERROR(AVERAGEIFS('Raw Data'!U:U,'Raw Data'!O:O,N10,'Raw Data'!V:V,"Delayed"),0)</f>
        <v>4.2222222222222223</v>
      </c>
    </row>
    <row r="11" spans="1:18" x14ac:dyDescent="0.3">
      <c r="A11" s="2" t="s">
        <v>35</v>
      </c>
      <c r="B11" s="2" t="s">
        <v>36</v>
      </c>
      <c r="C11" s="2" t="s">
        <v>32</v>
      </c>
      <c r="D11" s="2" t="s">
        <v>18</v>
      </c>
      <c r="E11" s="3">
        <v>46231</v>
      </c>
      <c r="F11" s="3">
        <v>46234</v>
      </c>
      <c r="G11" s="3">
        <v>46234</v>
      </c>
      <c r="H11" s="2" t="s">
        <v>14</v>
      </c>
      <c r="I11" s="2">
        <f t="shared" si="0"/>
        <v>0</v>
      </c>
      <c r="J11" s="2" t="str">
        <f t="shared" si="1"/>
        <v>On Time</v>
      </c>
      <c r="M11" s="10" t="s">
        <v>32</v>
      </c>
      <c r="N11" s="11">
        <f ca="1">COUNTIFS('Raw Data'!N:N,M11)</f>
        <v>36</v>
      </c>
      <c r="O11" s="11">
        <f ca="1">COUNTIFS('Raw Data'!N:N,M11,'Raw Data'!U:U,"Delayed")</f>
        <v>6</v>
      </c>
      <c r="P11" s="9">
        <f t="shared" ca="1" si="2"/>
        <v>0.83333333333333337</v>
      </c>
      <c r="Q11" s="9">
        <f ca="1">IFERROR(AVERAGEIFS('Raw Data'!T:T,'Raw Data'!N:N,M11,'Raw Data'!U:U,"Delayed"),0)</f>
        <v>3.1666666666666665</v>
      </c>
      <c r="R11" s="9">
        <f ca="1">IFERROR(AVERAGEIFS('Raw Data'!U:U,'Raw Data'!O:O,N11,'Raw Data'!V:V,"Delayed"),0)</f>
        <v>3.1666666666666665</v>
      </c>
    </row>
    <row r="12" spans="1:18" x14ac:dyDescent="0.3">
      <c r="A12" s="2" t="s">
        <v>37</v>
      </c>
      <c r="B12" s="2" t="s">
        <v>28</v>
      </c>
      <c r="C12" s="2" t="s">
        <v>38</v>
      </c>
      <c r="D12" s="2" t="s">
        <v>26</v>
      </c>
      <c r="E12" s="3">
        <v>46217</v>
      </c>
      <c r="F12" s="3">
        <v>46219</v>
      </c>
      <c r="G12" s="3">
        <v>46218</v>
      </c>
      <c r="H12" s="2" t="s">
        <v>14</v>
      </c>
      <c r="I12" s="2">
        <f t="shared" si="0"/>
        <v>-1</v>
      </c>
      <c r="J12" s="2" t="str">
        <f t="shared" si="1"/>
        <v>On Time</v>
      </c>
      <c r="M12" s="10" t="s">
        <v>38</v>
      </c>
      <c r="N12" s="11">
        <f ca="1">COUNTIFS('Raw Data'!N:N,M12)</f>
        <v>34</v>
      </c>
      <c r="O12" s="11">
        <f ca="1">COUNTIFS('Raw Data'!N:N,M12,'Raw Data'!U:U,"Delayed")</f>
        <v>15</v>
      </c>
      <c r="P12" s="9">
        <f t="shared" ca="1" si="2"/>
        <v>0.55882352941176472</v>
      </c>
      <c r="Q12" s="9">
        <f ca="1">IFERROR(AVERAGEIFS('Raw Data'!T:T,'Raw Data'!N:N,M12,'Raw Data'!U:U,"Delayed"),0)</f>
        <v>3.1333333333333333</v>
      </c>
      <c r="R12" s="9">
        <f ca="1">IFERROR(AVERAGEIFS('Raw Data'!U:U,'Raw Data'!O:O,N12,'Raw Data'!V:V,"Delayed"),0)</f>
        <v>3.1333333333333333</v>
      </c>
    </row>
    <row r="13" spans="1:18" x14ac:dyDescent="0.3">
      <c r="A13" s="2" t="s">
        <v>39</v>
      </c>
      <c r="B13" s="2" t="s">
        <v>40</v>
      </c>
      <c r="C13" s="2" t="s">
        <v>17</v>
      </c>
      <c r="D13" s="2" t="s">
        <v>18</v>
      </c>
      <c r="E13" s="3">
        <v>46247</v>
      </c>
      <c r="F13" s="3">
        <v>46250</v>
      </c>
      <c r="G13" s="3">
        <v>46253</v>
      </c>
      <c r="H13" s="2" t="s">
        <v>29</v>
      </c>
      <c r="I13" s="2">
        <f t="shared" si="0"/>
        <v>3</v>
      </c>
      <c r="J13" s="2" t="str">
        <f t="shared" si="1"/>
        <v>Delayed</v>
      </c>
    </row>
    <row r="14" spans="1:18" x14ac:dyDescent="0.3">
      <c r="A14" s="2" t="s">
        <v>41</v>
      </c>
      <c r="B14" s="2" t="s">
        <v>42</v>
      </c>
      <c r="C14" s="2" t="s">
        <v>38</v>
      </c>
      <c r="D14" s="2" t="s">
        <v>26</v>
      </c>
      <c r="E14" s="3">
        <v>46185</v>
      </c>
      <c r="F14" s="3">
        <v>46188</v>
      </c>
      <c r="G14" s="3">
        <v>46188</v>
      </c>
      <c r="H14" s="2" t="s">
        <v>14</v>
      </c>
      <c r="I14" s="2">
        <f t="shared" si="0"/>
        <v>0</v>
      </c>
      <c r="J14" s="2" t="str">
        <f t="shared" si="1"/>
        <v>On Time</v>
      </c>
    </row>
    <row r="15" spans="1:18" x14ac:dyDescent="0.3">
      <c r="A15" s="2" t="s">
        <v>43</v>
      </c>
      <c r="B15" s="2" t="s">
        <v>40</v>
      </c>
      <c r="C15" s="2" t="s">
        <v>32</v>
      </c>
      <c r="D15" s="2" t="s">
        <v>18</v>
      </c>
      <c r="E15" s="3">
        <v>46247</v>
      </c>
      <c r="F15" s="3">
        <v>46251</v>
      </c>
      <c r="G15" s="3">
        <v>46250</v>
      </c>
      <c r="H15" s="2" t="s">
        <v>14</v>
      </c>
      <c r="I15" s="2">
        <f t="shared" si="0"/>
        <v>-1</v>
      </c>
      <c r="J15" s="2" t="str">
        <f t="shared" si="1"/>
        <v>On Time</v>
      </c>
    </row>
    <row r="16" spans="1:18" x14ac:dyDescent="0.3">
      <c r="A16" s="2" t="s">
        <v>44</v>
      </c>
      <c r="B16" s="2" t="s">
        <v>45</v>
      </c>
      <c r="C16" s="2" t="s">
        <v>38</v>
      </c>
      <c r="D16" s="2" t="s">
        <v>18</v>
      </c>
      <c r="E16" s="3">
        <v>46218</v>
      </c>
      <c r="F16" s="3">
        <v>46220</v>
      </c>
      <c r="G16" s="3">
        <v>46219</v>
      </c>
      <c r="H16" s="2" t="s">
        <v>14</v>
      </c>
      <c r="I16" s="2">
        <f t="shared" si="0"/>
        <v>-1</v>
      </c>
      <c r="J16" s="2" t="str">
        <f t="shared" si="1"/>
        <v>On Time</v>
      </c>
    </row>
    <row r="17" spans="1:10" x14ac:dyDescent="0.3">
      <c r="A17" s="2" t="s">
        <v>46</v>
      </c>
      <c r="B17" s="2" t="s">
        <v>47</v>
      </c>
      <c r="C17" s="2" t="s">
        <v>17</v>
      </c>
      <c r="D17" s="2" t="s">
        <v>13</v>
      </c>
      <c r="E17" s="3">
        <v>46181</v>
      </c>
      <c r="F17" s="3">
        <v>46183</v>
      </c>
      <c r="G17" s="3">
        <v>46183</v>
      </c>
      <c r="H17" s="2" t="s">
        <v>14</v>
      </c>
      <c r="I17" s="2">
        <f t="shared" si="0"/>
        <v>0</v>
      </c>
      <c r="J17" s="2" t="str">
        <f t="shared" si="1"/>
        <v>On Time</v>
      </c>
    </row>
    <row r="18" spans="1:10" x14ac:dyDescent="0.3">
      <c r="A18" s="2" t="s">
        <v>48</v>
      </c>
      <c r="B18" s="2" t="s">
        <v>49</v>
      </c>
      <c r="C18" s="2" t="s">
        <v>12</v>
      </c>
      <c r="D18" s="2" t="s">
        <v>13</v>
      </c>
      <c r="E18" s="3">
        <v>46224</v>
      </c>
      <c r="F18" s="3">
        <v>46227</v>
      </c>
      <c r="G18" s="3">
        <v>46231</v>
      </c>
      <c r="H18" s="2" t="s">
        <v>29</v>
      </c>
      <c r="I18" s="2">
        <f t="shared" si="0"/>
        <v>4</v>
      </c>
      <c r="J18" s="2" t="str">
        <f t="shared" si="1"/>
        <v>Delayed</v>
      </c>
    </row>
    <row r="19" spans="1:10" x14ac:dyDescent="0.3">
      <c r="A19" s="2" t="s">
        <v>50</v>
      </c>
      <c r="B19" s="2" t="s">
        <v>24</v>
      </c>
      <c r="C19" s="2" t="s">
        <v>32</v>
      </c>
      <c r="D19" s="2" t="s">
        <v>26</v>
      </c>
      <c r="E19" s="3">
        <v>46229</v>
      </c>
      <c r="F19" s="3">
        <v>46233</v>
      </c>
      <c r="G19" s="3">
        <v>46232</v>
      </c>
      <c r="H19" s="2" t="s">
        <v>14</v>
      </c>
      <c r="I19" s="2">
        <f t="shared" si="0"/>
        <v>-1</v>
      </c>
      <c r="J19" s="2" t="str">
        <f t="shared" si="1"/>
        <v>On Time</v>
      </c>
    </row>
    <row r="20" spans="1:10" x14ac:dyDescent="0.3">
      <c r="A20" s="2" t="s">
        <v>51</v>
      </c>
      <c r="B20" s="2" t="s">
        <v>16</v>
      </c>
      <c r="C20" s="2" t="s">
        <v>38</v>
      </c>
      <c r="D20" s="2" t="s">
        <v>26</v>
      </c>
      <c r="E20" s="3">
        <v>46193</v>
      </c>
      <c r="F20" s="3">
        <v>46195</v>
      </c>
      <c r="G20" s="3">
        <v>46197</v>
      </c>
      <c r="H20" s="2" t="s">
        <v>52</v>
      </c>
      <c r="I20" s="2">
        <f t="shared" si="0"/>
        <v>2</v>
      </c>
      <c r="J20" s="2" t="str">
        <f t="shared" si="1"/>
        <v>Delayed</v>
      </c>
    </row>
    <row r="21" spans="1:10" x14ac:dyDescent="0.3">
      <c r="A21" s="2" t="s">
        <v>53</v>
      </c>
      <c r="B21" s="2" t="s">
        <v>54</v>
      </c>
      <c r="C21" s="2" t="s">
        <v>38</v>
      </c>
      <c r="D21" s="2" t="s">
        <v>18</v>
      </c>
      <c r="E21" s="3">
        <v>46197</v>
      </c>
      <c r="F21" s="3">
        <v>46200</v>
      </c>
      <c r="G21" s="3">
        <v>46202</v>
      </c>
      <c r="H21" s="2" t="s">
        <v>29</v>
      </c>
      <c r="I21" s="2">
        <f t="shared" si="0"/>
        <v>2</v>
      </c>
      <c r="J21" s="2" t="str">
        <f t="shared" si="1"/>
        <v>Delayed</v>
      </c>
    </row>
    <row r="22" spans="1:10" x14ac:dyDescent="0.3">
      <c r="A22" s="2" t="s">
        <v>55</v>
      </c>
      <c r="B22" s="2" t="s">
        <v>24</v>
      </c>
      <c r="C22" s="2" t="s">
        <v>32</v>
      </c>
      <c r="D22" s="2" t="s">
        <v>18</v>
      </c>
      <c r="E22" s="3">
        <v>46246</v>
      </c>
      <c r="F22" s="3">
        <v>46249</v>
      </c>
      <c r="G22" s="3">
        <v>46249</v>
      </c>
      <c r="H22" s="2" t="s">
        <v>14</v>
      </c>
      <c r="I22" s="2">
        <f t="shared" si="0"/>
        <v>0</v>
      </c>
      <c r="J22" s="2" t="str">
        <f t="shared" si="1"/>
        <v>On Time</v>
      </c>
    </row>
    <row r="23" spans="1:10" x14ac:dyDescent="0.3">
      <c r="A23" s="2" t="s">
        <v>56</v>
      </c>
      <c r="B23" s="2" t="s">
        <v>57</v>
      </c>
      <c r="C23" s="2" t="s">
        <v>38</v>
      </c>
      <c r="D23" s="2" t="s">
        <v>13</v>
      </c>
      <c r="E23" s="3">
        <v>46225</v>
      </c>
      <c r="F23" s="3">
        <v>46228</v>
      </c>
      <c r="G23" s="3">
        <v>46234</v>
      </c>
      <c r="H23" s="2" t="s">
        <v>29</v>
      </c>
      <c r="I23" s="2">
        <f t="shared" si="0"/>
        <v>6</v>
      </c>
      <c r="J23" s="2" t="str">
        <f t="shared" si="1"/>
        <v>Delayed</v>
      </c>
    </row>
    <row r="24" spans="1:10" x14ac:dyDescent="0.3">
      <c r="A24" s="2" t="s">
        <v>58</v>
      </c>
      <c r="B24" s="2" t="s">
        <v>40</v>
      </c>
      <c r="C24" s="2" t="s">
        <v>12</v>
      </c>
      <c r="D24" s="2" t="s">
        <v>26</v>
      </c>
      <c r="E24" s="3">
        <v>46200</v>
      </c>
      <c r="F24" s="3">
        <v>46203</v>
      </c>
      <c r="G24" s="3">
        <v>46206</v>
      </c>
      <c r="H24" s="2" t="s">
        <v>19</v>
      </c>
      <c r="I24" s="2">
        <f t="shared" si="0"/>
        <v>3</v>
      </c>
      <c r="J24" s="2" t="str">
        <f t="shared" si="1"/>
        <v>Delayed</v>
      </c>
    </row>
    <row r="25" spans="1:10" x14ac:dyDescent="0.3">
      <c r="A25" s="2" t="s">
        <v>59</v>
      </c>
      <c r="B25" s="2" t="s">
        <v>28</v>
      </c>
      <c r="C25" s="2" t="s">
        <v>17</v>
      </c>
      <c r="D25" s="2" t="s">
        <v>18</v>
      </c>
      <c r="E25" s="3">
        <v>46193</v>
      </c>
      <c r="F25" s="3">
        <v>46197</v>
      </c>
      <c r="G25" s="3">
        <v>46200</v>
      </c>
      <c r="H25" s="2" t="s">
        <v>19</v>
      </c>
      <c r="I25" s="2">
        <f t="shared" si="0"/>
        <v>3</v>
      </c>
      <c r="J25" s="2" t="str">
        <f t="shared" si="1"/>
        <v>Delayed</v>
      </c>
    </row>
    <row r="26" spans="1:10" x14ac:dyDescent="0.3">
      <c r="A26" s="2" t="s">
        <v>60</v>
      </c>
      <c r="B26" s="2" t="s">
        <v>61</v>
      </c>
      <c r="C26" s="2" t="s">
        <v>12</v>
      </c>
      <c r="D26" s="2" t="s">
        <v>18</v>
      </c>
      <c r="E26" s="3">
        <v>46222</v>
      </c>
      <c r="F26" s="3">
        <v>46224</v>
      </c>
      <c r="G26" s="3">
        <v>46223</v>
      </c>
      <c r="H26" s="2" t="s">
        <v>14</v>
      </c>
      <c r="I26" s="2">
        <f t="shared" si="0"/>
        <v>-1</v>
      </c>
      <c r="J26" s="2" t="str">
        <f t="shared" si="1"/>
        <v>On Time</v>
      </c>
    </row>
    <row r="27" spans="1:10" x14ac:dyDescent="0.3">
      <c r="A27" s="2" t="s">
        <v>62</v>
      </c>
      <c r="B27" s="2" t="s">
        <v>63</v>
      </c>
      <c r="C27" s="2" t="s">
        <v>32</v>
      </c>
      <c r="D27" s="2" t="s">
        <v>13</v>
      </c>
      <c r="E27" s="3">
        <v>46189</v>
      </c>
      <c r="F27" s="3">
        <v>46191</v>
      </c>
      <c r="G27" s="3">
        <v>46190</v>
      </c>
      <c r="H27" s="2" t="s">
        <v>14</v>
      </c>
      <c r="I27" s="2">
        <f t="shared" si="0"/>
        <v>-1</v>
      </c>
      <c r="J27" s="2" t="str">
        <f t="shared" si="1"/>
        <v>On Time</v>
      </c>
    </row>
    <row r="28" spans="1:10" x14ac:dyDescent="0.3">
      <c r="A28" s="2" t="s">
        <v>64</v>
      </c>
      <c r="B28" s="2" t="s">
        <v>65</v>
      </c>
      <c r="C28" s="2" t="s">
        <v>38</v>
      </c>
      <c r="D28" s="2" t="s">
        <v>13</v>
      </c>
      <c r="E28" s="3">
        <v>46184</v>
      </c>
      <c r="F28" s="3">
        <v>46186</v>
      </c>
      <c r="G28" s="3">
        <v>46189</v>
      </c>
      <c r="H28" s="2" t="s">
        <v>66</v>
      </c>
      <c r="I28" s="2">
        <f t="shared" si="0"/>
        <v>3</v>
      </c>
      <c r="J28" s="2" t="str">
        <f t="shared" si="1"/>
        <v>Delayed</v>
      </c>
    </row>
    <row r="29" spans="1:10" x14ac:dyDescent="0.3">
      <c r="A29" s="2" t="s">
        <v>67</v>
      </c>
      <c r="B29" s="2" t="s">
        <v>65</v>
      </c>
      <c r="C29" s="2" t="s">
        <v>12</v>
      </c>
      <c r="D29" s="2" t="s">
        <v>18</v>
      </c>
      <c r="E29" s="3">
        <v>46176</v>
      </c>
      <c r="F29" s="3">
        <v>46178</v>
      </c>
      <c r="G29" s="3">
        <v>46177</v>
      </c>
      <c r="H29" s="2" t="s">
        <v>14</v>
      </c>
      <c r="I29" s="2">
        <f t="shared" si="0"/>
        <v>-1</v>
      </c>
      <c r="J29" s="2" t="str">
        <f t="shared" si="1"/>
        <v>On Time</v>
      </c>
    </row>
    <row r="30" spans="1:10" x14ac:dyDescent="0.3">
      <c r="A30" s="2" t="s">
        <v>68</v>
      </c>
      <c r="B30" s="2" t="s">
        <v>69</v>
      </c>
      <c r="C30" s="2" t="s">
        <v>17</v>
      </c>
      <c r="D30" s="2" t="s">
        <v>18</v>
      </c>
      <c r="E30" s="3">
        <v>46212</v>
      </c>
      <c r="F30" s="3">
        <v>46216</v>
      </c>
      <c r="G30" s="3">
        <v>46215</v>
      </c>
      <c r="H30" s="2" t="s">
        <v>14</v>
      </c>
      <c r="I30" s="2">
        <f t="shared" si="0"/>
        <v>-1</v>
      </c>
      <c r="J30" s="2" t="str">
        <f t="shared" si="1"/>
        <v>On Time</v>
      </c>
    </row>
    <row r="31" spans="1:10" x14ac:dyDescent="0.3">
      <c r="A31" s="2" t="s">
        <v>70</v>
      </c>
      <c r="B31" s="2" t="s">
        <v>71</v>
      </c>
      <c r="C31" s="2" t="s">
        <v>32</v>
      </c>
      <c r="D31" s="2" t="s">
        <v>26</v>
      </c>
      <c r="E31" s="3">
        <v>46219</v>
      </c>
      <c r="F31" s="3">
        <v>46221</v>
      </c>
      <c r="G31" s="3">
        <v>46220</v>
      </c>
      <c r="H31" s="2" t="s">
        <v>14</v>
      </c>
      <c r="I31" s="2">
        <f t="shared" si="0"/>
        <v>-1</v>
      </c>
      <c r="J31" s="2" t="str">
        <f t="shared" si="1"/>
        <v>On Time</v>
      </c>
    </row>
    <row r="32" spans="1:10" x14ac:dyDescent="0.3">
      <c r="A32" s="2" t="s">
        <v>72</v>
      </c>
      <c r="B32" s="2" t="s">
        <v>73</v>
      </c>
      <c r="C32" s="2" t="s">
        <v>12</v>
      </c>
      <c r="D32" s="2" t="s">
        <v>18</v>
      </c>
      <c r="E32" s="3">
        <v>46198</v>
      </c>
      <c r="F32" s="3">
        <v>46200</v>
      </c>
      <c r="G32" s="3">
        <v>46200</v>
      </c>
      <c r="H32" s="2" t="s">
        <v>14</v>
      </c>
      <c r="I32" s="2">
        <f t="shared" si="0"/>
        <v>0</v>
      </c>
      <c r="J32" s="2" t="str">
        <f t="shared" si="1"/>
        <v>On Time</v>
      </c>
    </row>
    <row r="33" spans="1:10" x14ac:dyDescent="0.3">
      <c r="A33" s="2" t="s">
        <v>74</v>
      </c>
      <c r="B33" s="2" t="s">
        <v>75</v>
      </c>
      <c r="C33" s="2" t="s">
        <v>38</v>
      </c>
      <c r="D33" s="2" t="s">
        <v>13</v>
      </c>
      <c r="E33" s="3">
        <v>46177</v>
      </c>
      <c r="F33" s="3">
        <v>46179</v>
      </c>
      <c r="G33" s="3">
        <v>46178</v>
      </c>
      <c r="H33" s="2" t="s">
        <v>14</v>
      </c>
      <c r="I33" s="2">
        <f t="shared" si="0"/>
        <v>-1</v>
      </c>
      <c r="J33" s="2" t="str">
        <f t="shared" si="1"/>
        <v>On Time</v>
      </c>
    </row>
    <row r="34" spans="1:10" x14ac:dyDescent="0.3">
      <c r="A34" s="2" t="s">
        <v>76</v>
      </c>
      <c r="B34" s="2" t="s">
        <v>77</v>
      </c>
      <c r="C34" s="2" t="s">
        <v>12</v>
      </c>
      <c r="D34" s="2" t="s">
        <v>18</v>
      </c>
      <c r="E34" s="3">
        <v>46218</v>
      </c>
      <c r="F34" s="3">
        <v>46221</v>
      </c>
      <c r="G34" s="3">
        <v>46220</v>
      </c>
      <c r="H34" s="2" t="s">
        <v>14</v>
      </c>
      <c r="I34" s="2">
        <f t="shared" si="0"/>
        <v>-1</v>
      </c>
      <c r="J34" s="2" t="str">
        <f t="shared" si="1"/>
        <v>On Time</v>
      </c>
    </row>
    <row r="35" spans="1:10" x14ac:dyDescent="0.3">
      <c r="A35" s="2" t="s">
        <v>78</v>
      </c>
      <c r="B35" s="2" t="s">
        <v>16</v>
      </c>
      <c r="C35" s="2" t="s">
        <v>17</v>
      </c>
      <c r="D35" s="2" t="s">
        <v>26</v>
      </c>
      <c r="E35" s="3">
        <v>46187</v>
      </c>
      <c r="F35" s="3">
        <v>46189</v>
      </c>
      <c r="G35" s="3">
        <v>46188</v>
      </c>
      <c r="H35" s="2" t="s">
        <v>14</v>
      </c>
      <c r="I35" s="2">
        <f t="shared" si="0"/>
        <v>-1</v>
      </c>
      <c r="J35" s="2" t="str">
        <f t="shared" si="1"/>
        <v>On Time</v>
      </c>
    </row>
    <row r="36" spans="1:10" x14ac:dyDescent="0.3">
      <c r="A36" s="2" t="s">
        <v>79</v>
      </c>
      <c r="B36" s="2" t="s">
        <v>75</v>
      </c>
      <c r="C36" s="2" t="s">
        <v>38</v>
      </c>
      <c r="D36" s="2" t="s">
        <v>18</v>
      </c>
      <c r="E36" s="3">
        <v>46174</v>
      </c>
      <c r="F36" s="3">
        <v>46177</v>
      </c>
      <c r="G36" s="3">
        <v>46176</v>
      </c>
      <c r="H36" s="2" t="s">
        <v>14</v>
      </c>
      <c r="I36" s="2">
        <f t="shared" si="0"/>
        <v>-1</v>
      </c>
      <c r="J36" s="2" t="str">
        <f t="shared" si="1"/>
        <v>On Time</v>
      </c>
    </row>
    <row r="37" spans="1:10" x14ac:dyDescent="0.3">
      <c r="A37" s="2" t="s">
        <v>80</v>
      </c>
      <c r="B37" s="2" t="s">
        <v>34</v>
      </c>
      <c r="C37" s="2" t="s">
        <v>17</v>
      </c>
      <c r="D37" s="2" t="s">
        <v>18</v>
      </c>
      <c r="E37" s="3">
        <v>46189</v>
      </c>
      <c r="F37" s="3">
        <v>46192</v>
      </c>
      <c r="G37" s="3">
        <v>46192</v>
      </c>
      <c r="H37" s="2" t="s">
        <v>14</v>
      </c>
      <c r="I37" s="2">
        <f t="shared" si="0"/>
        <v>0</v>
      </c>
      <c r="J37" s="2" t="str">
        <f t="shared" si="1"/>
        <v>On Time</v>
      </c>
    </row>
    <row r="38" spans="1:10" x14ac:dyDescent="0.3">
      <c r="A38" s="2" t="s">
        <v>81</v>
      </c>
      <c r="B38" s="2" t="s">
        <v>65</v>
      </c>
      <c r="C38" s="2" t="s">
        <v>12</v>
      </c>
      <c r="D38" s="2" t="s">
        <v>13</v>
      </c>
      <c r="E38" s="3">
        <v>46216</v>
      </c>
      <c r="F38" s="3">
        <v>46218</v>
      </c>
      <c r="G38" s="3">
        <v>46217</v>
      </c>
      <c r="H38" s="2" t="s">
        <v>14</v>
      </c>
      <c r="I38" s="2">
        <f t="shared" si="0"/>
        <v>-1</v>
      </c>
      <c r="J38" s="2" t="str">
        <f t="shared" si="1"/>
        <v>On Time</v>
      </c>
    </row>
    <row r="39" spans="1:10" x14ac:dyDescent="0.3">
      <c r="A39" s="2" t="s">
        <v>82</v>
      </c>
      <c r="B39" s="2" t="s">
        <v>57</v>
      </c>
      <c r="C39" s="2" t="s">
        <v>38</v>
      </c>
      <c r="D39" s="2" t="s">
        <v>18</v>
      </c>
      <c r="E39" s="3">
        <v>46184</v>
      </c>
      <c r="F39" s="3">
        <v>46188</v>
      </c>
      <c r="G39" s="3">
        <v>46190</v>
      </c>
      <c r="H39" s="2" t="s">
        <v>19</v>
      </c>
      <c r="I39" s="2">
        <f t="shared" si="0"/>
        <v>2</v>
      </c>
      <c r="J39" s="2" t="str">
        <f t="shared" si="1"/>
        <v>Delayed</v>
      </c>
    </row>
    <row r="40" spans="1:10" x14ac:dyDescent="0.3">
      <c r="A40" s="2" t="s">
        <v>83</v>
      </c>
      <c r="B40" s="2" t="s">
        <v>69</v>
      </c>
      <c r="C40" s="2" t="s">
        <v>38</v>
      </c>
      <c r="D40" s="2" t="s">
        <v>18</v>
      </c>
      <c r="E40" s="3">
        <v>46192</v>
      </c>
      <c r="F40" s="3">
        <v>46196</v>
      </c>
      <c r="G40" s="3">
        <v>46195</v>
      </c>
      <c r="H40" s="2" t="s">
        <v>14</v>
      </c>
      <c r="I40" s="2">
        <f t="shared" si="0"/>
        <v>-1</v>
      </c>
      <c r="J40" s="2" t="str">
        <f t="shared" si="1"/>
        <v>On Time</v>
      </c>
    </row>
    <row r="41" spans="1:10" x14ac:dyDescent="0.3">
      <c r="A41" s="2" t="s">
        <v>84</v>
      </c>
      <c r="B41" s="2" t="s">
        <v>85</v>
      </c>
      <c r="C41" s="2" t="s">
        <v>32</v>
      </c>
      <c r="D41" s="2" t="s">
        <v>26</v>
      </c>
      <c r="E41" s="3">
        <v>46244</v>
      </c>
      <c r="F41" s="3">
        <v>46248</v>
      </c>
      <c r="G41" s="3">
        <v>46249</v>
      </c>
      <c r="H41" s="2" t="s">
        <v>19</v>
      </c>
      <c r="I41" s="2">
        <f t="shared" si="0"/>
        <v>1</v>
      </c>
      <c r="J41" s="2" t="str">
        <f t="shared" si="1"/>
        <v>Delayed</v>
      </c>
    </row>
    <row r="42" spans="1:10" x14ac:dyDescent="0.3">
      <c r="A42" s="2" t="s">
        <v>86</v>
      </c>
      <c r="B42" s="2" t="s">
        <v>71</v>
      </c>
      <c r="C42" s="2" t="s">
        <v>12</v>
      </c>
      <c r="D42" s="2" t="s">
        <v>13</v>
      </c>
      <c r="E42" s="3">
        <v>46198</v>
      </c>
      <c r="F42" s="3">
        <v>46200</v>
      </c>
      <c r="G42" s="3">
        <v>46202</v>
      </c>
      <c r="H42" s="2" t="s">
        <v>66</v>
      </c>
      <c r="I42" s="2">
        <f t="shared" si="0"/>
        <v>2</v>
      </c>
      <c r="J42" s="2" t="str">
        <f t="shared" si="1"/>
        <v>Delayed</v>
      </c>
    </row>
    <row r="43" spans="1:10" x14ac:dyDescent="0.3">
      <c r="A43" s="2" t="s">
        <v>87</v>
      </c>
      <c r="B43" s="2" t="s">
        <v>71</v>
      </c>
      <c r="C43" s="2" t="s">
        <v>12</v>
      </c>
      <c r="D43" s="2" t="s">
        <v>18</v>
      </c>
      <c r="E43" s="3">
        <v>46215</v>
      </c>
      <c r="F43" s="3">
        <v>46218</v>
      </c>
      <c r="G43" s="3">
        <v>46218</v>
      </c>
      <c r="H43" s="2" t="s">
        <v>14</v>
      </c>
      <c r="I43" s="2">
        <f t="shared" si="0"/>
        <v>0</v>
      </c>
      <c r="J43" s="2" t="str">
        <f t="shared" si="1"/>
        <v>On Time</v>
      </c>
    </row>
    <row r="44" spans="1:10" x14ac:dyDescent="0.3">
      <c r="A44" s="2" t="s">
        <v>88</v>
      </c>
      <c r="B44" s="2" t="s">
        <v>40</v>
      </c>
      <c r="C44" s="2" t="s">
        <v>32</v>
      </c>
      <c r="D44" s="2" t="s">
        <v>13</v>
      </c>
      <c r="E44" s="3">
        <v>46248</v>
      </c>
      <c r="F44" s="3">
        <v>46252</v>
      </c>
      <c r="G44" s="3">
        <v>46252</v>
      </c>
      <c r="H44" s="2" t="s">
        <v>14</v>
      </c>
      <c r="I44" s="2">
        <f t="shared" si="0"/>
        <v>0</v>
      </c>
      <c r="J44" s="2" t="str">
        <f t="shared" si="1"/>
        <v>On Time</v>
      </c>
    </row>
    <row r="45" spans="1:10" x14ac:dyDescent="0.3">
      <c r="A45" s="2" t="s">
        <v>89</v>
      </c>
      <c r="B45" s="2" t="s">
        <v>24</v>
      </c>
      <c r="C45" s="2" t="s">
        <v>12</v>
      </c>
      <c r="D45" s="2" t="s">
        <v>18</v>
      </c>
      <c r="E45" s="3">
        <v>46239</v>
      </c>
      <c r="F45" s="3">
        <v>46241</v>
      </c>
      <c r="G45" s="3">
        <v>46241</v>
      </c>
      <c r="H45" s="2" t="s">
        <v>14</v>
      </c>
      <c r="I45" s="2">
        <f t="shared" si="0"/>
        <v>0</v>
      </c>
      <c r="J45" s="2" t="str">
        <f t="shared" si="1"/>
        <v>On Time</v>
      </c>
    </row>
    <row r="46" spans="1:10" x14ac:dyDescent="0.3">
      <c r="A46" s="2" t="s">
        <v>90</v>
      </c>
      <c r="B46" s="2" t="s">
        <v>63</v>
      </c>
      <c r="C46" s="2" t="s">
        <v>17</v>
      </c>
      <c r="D46" s="2" t="s">
        <v>26</v>
      </c>
      <c r="E46" s="3">
        <v>46196</v>
      </c>
      <c r="F46" s="3">
        <v>46198</v>
      </c>
      <c r="G46" s="3">
        <v>46198</v>
      </c>
      <c r="H46" s="2" t="s">
        <v>14</v>
      </c>
      <c r="I46" s="2">
        <f t="shared" si="0"/>
        <v>0</v>
      </c>
      <c r="J46" s="2" t="str">
        <f t="shared" si="1"/>
        <v>On Time</v>
      </c>
    </row>
    <row r="47" spans="1:10" x14ac:dyDescent="0.3">
      <c r="A47" s="2" t="s">
        <v>91</v>
      </c>
      <c r="B47" s="2" t="s">
        <v>24</v>
      </c>
      <c r="C47" s="2" t="s">
        <v>17</v>
      </c>
      <c r="D47" s="2" t="s">
        <v>13</v>
      </c>
      <c r="E47" s="3">
        <v>46240</v>
      </c>
      <c r="F47" s="3">
        <v>46244</v>
      </c>
      <c r="G47" s="3">
        <v>46244</v>
      </c>
      <c r="H47" s="2" t="s">
        <v>14</v>
      </c>
      <c r="I47" s="2">
        <f t="shared" si="0"/>
        <v>0</v>
      </c>
      <c r="J47" s="2" t="str">
        <f t="shared" si="1"/>
        <v>On Time</v>
      </c>
    </row>
    <row r="48" spans="1:10" x14ac:dyDescent="0.3">
      <c r="A48" s="2" t="s">
        <v>92</v>
      </c>
      <c r="B48" s="2" t="s">
        <v>36</v>
      </c>
      <c r="C48" s="2" t="s">
        <v>17</v>
      </c>
      <c r="D48" s="2" t="s">
        <v>26</v>
      </c>
      <c r="E48" s="3">
        <v>46198</v>
      </c>
      <c r="F48" s="3">
        <v>46201</v>
      </c>
      <c r="G48" s="3">
        <v>46202</v>
      </c>
      <c r="H48" s="2" t="s">
        <v>29</v>
      </c>
      <c r="I48" s="2">
        <f t="shared" si="0"/>
        <v>1</v>
      </c>
      <c r="J48" s="2" t="str">
        <f t="shared" si="1"/>
        <v>Delayed</v>
      </c>
    </row>
    <row r="49" spans="1:10" x14ac:dyDescent="0.3">
      <c r="A49" s="2" t="s">
        <v>93</v>
      </c>
      <c r="B49" s="2" t="s">
        <v>24</v>
      </c>
      <c r="C49" s="2" t="s">
        <v>17</v>
      </c>
      <c r="D49" s="2" t="s">
        <v>26</v>
      </c>
      <c r="E49" s="3">
        <v>46230</v>
      </c>
      <c r="F49" s="3">
        <v>46233</v>
      </c>
      <c r="G49" s="3">
        <v>46233</v>
      </c>
      <c r="H49" s="2" t="s">
        <v>14</v>
      </c>
      <c r="I49" s="2">
        <f t="shared" si="0"/>
        <v>0</v>
      </c>
      <c r="J49" s="2" t="str">
        <f t="shared" si="1"/>
        <v>On Time</v>
      </c>
    </row>
    <row r="50" spans="1:10" x14ac:dyDescent="0.3">
      <c r="A50" s="2" t="s">
        <v>94</v>
      </c>
      <c r="B50" s="2" t="s">
        <v>45</v>
      </c>
      <c r="C50" s="2" t="s">
        <v>32</v>
      </c>
      <c r="D50" s="2" t="s">
        <v>13</v>
      </c>
      <c r="E50" s="3">
        <v>46239</v>
      </c>
      <c r="F50" s="3">
        <v>46243</v>
      </c>
      <c r="G50" s="3">
        <v>46243</v>
      </c>
      <c r="H50" s="2" t="s">
        <v>14</v>
      </c>
      <c r="I50" s="2">
        <f t="shared" si="0"/>
        <v>0</v>
      </c>
      <c r="J50" s="2" t="str">
        <f t="shared" si="1"/>
        <v>On Time</v>
      </c>
    </row>
    <row r="51" spans="1:10" x14ac:dyDescent="0.3">
      <c r="A51" s="2" t="s">
        <v>95</v>
      </c>
      <c r="B51" s="2" t="s">
        <v>45</v>
      </c>
      <c r="C51" s="2" t="s">
        <v>32</v>
      </c>
      <c r="D51" s="2" t="s">
        <v>18</v>
      </c>
      <c r="E51" s="3">
        <v>46199</v>
      </c>
      <c r="F51" s="3">
        <v>46202</v>
      </c>
      <c r="G51" s="3">
        <v>46203</v>
      </c>
      <c r="H51" s="2" t="s">
        <v>29</v>
      </c>
      <c r="I51" s="2">
        <f t="shared" si="0"/>
        <v>1</v>
      </c>
      <c r="J51" s="2" t="str">
        <f t="shared" si="1"/>
        <v>Delayed</v>
      </c>
    </row>
    <row r="52" spans="1:10" x14ac:dyDescent="0.3">
      <c r="A52" s="2" t="s">
        <v>96</v>
      </c>
      <c r="B52" s="2" t="s">
        <v>57</v>
      </c>
      <c r="C52" s="2" t="s">
        <v>32</v>
      </c>
      <c r="D52" s="2" t="s">
        <v>26</v>
      </c>
      <c r="E52" s="3">
        <v>46204</v>
      </c>
      <c r="F52" s="3">
        <v>46207</v>
      </c>
      <c r="G52" s="3">
        <v>46213</v>
      </c>
      <c r="H52" s="2" t="s">
        <v>66</v>
      </c>
      <c r="I52" s="2">
        <f t="shared" si="0"/>
        <v>6</v>
      </c>
      <c r="J52" s="2" t="str">
        <f t="shared" si="1"/>
        <v>Delayed</v>
      </c>
    </row>
    <row r="53" spans="1:10" x14ac:dyDescent="0.3">
      <c r="A53" s="2" t="s">
        <v>97</v>
      </c>
      <c r="B53" s="2" t="s">
        <v>34</v>
      </c>
      <c r="C53" s="2" t="s">
        <v>17</v>
      </c>
      <c r="D53" s="2" t="s">
        <v>26</v>
      </c>
      <c r="E53" s="3">
        <v>46220</v>
      </c>
      <c r="F53" s="3">
        <v>46222</v>
      </c>
      <c r="G53" s="3">
        <v>46224</v>
      </c>
      <c r="H53" s="2" t="s">
        <v>29</v>
      </c>
      <c r="I53" s="2">
        <f t="shared" si="0"/>
        <v>2</v>
      </c>
      <c r="J53" s="2" t="str">
        <f t="shared" si="1"/>
        <v>Delayed</v>
      </c>
    </row>
    <row r="54" spans="1:10" x14ac:dyDescent="0.3">
      <c r="A54" s="2" t="s">
        <v>98</v>
      </c>
      <c r="B54" s="2" t="s">
        <v>21</v>
      </c>
      <c r="C54" s="2" t="s">
        <v>17</v>
      </c>
      <c r="D54" s="2" t="s">
        <v>13</v>
      </c>
      <c r="E54" s="3">
        <v>46236</v>
      </c>
      <c r="F54" s="3">
        <v>46238</v>
      </c>
      <c r="G54" s="3">
        <v>46238</v>
      </c>
      <c r="H54" s="2" t="s">
        <v>14</v>
      </c>
      <c r="I54" s="2">
        <f t="shared" si="0"/>
        <v>0</v>
      </c>
      <c r="J54" s="2" t="str">
        <f t="shared" si="1"/>
        <v>On Time</v>
      </c>
    </row>
    <row r="55" spans="1:10" x14ac:dyDescent="0.3">
      <c r="A55" s="2" t="s">
        <v>99</v>
      </c>
      <c r="B55" s="2" t="s">
        <v>47</v>
      </c>
      <c r="C55" s="2" t="s">
        <v>38</v>
      </c>
      <c r="D55" s="2" t="s">
        <v>18</v>
      </c>
      <c r="E55" s="3">
        <v>46225</v>
      </c>
      <c r="F55" s="3">
        <v>46228</v>
      </c>
      <c r="G55" s="3">
        <v>46227</v>
      </c>
      <c r="H55" s="2" t="s">
        <v>14</v>
      </c>
      <c r="I55" s="2">
        <f t="shared" si="0"/>
        <v>-1</v>
      </c>
      <c r="J55" s="2" t="str">
        <f t="shared" si="1"/>
        <v>On Time</v>
      </c>
    </row>
    <row r="56" spans="1:10" x14ac:dyDescent="0.3">
      <c r="A56" s="2" t="s">
        <v>100</v>
      </c>
      <c r="B56" s="2" t="s">
        <v>11</v>
      </c>
      <c r="C56" s="2" t="s">
        <v>17</v>
      </c>
      <c r="D56" s="2" t="s">
        <v>18</v>
      </c>
      <c r="E56" s="3">
        <v>46220</v>
      </c>
      <c r="F56" s="3">
        <v>46222</v>
      </c>
      <c r="G56" s="3">
        <v>46226</v>
      </c>
      <c r="H56" s="2" t="s">
        <v>29</v>
      </c>
      <c r="I56" s="2">
        <f t="shared" si="0"/>
        <v>4</v>
      </c>
      <c r="J56" s="2" t="str">
        <f t="shared" si="1"/>
        <v>Delayed</v>
      </c>
    </row>
    <row r="57" spans="1:10" x14ac:dyDescent="0.3">
      <c r="A57" s="2" t="s">
        <v>101</v>
      </c>
      <c r="B57" s="2" t="s">
        <v>45</v>
      </c>
      <c r="C57" s="2" t="s">
        <v>17</v>
      </c>
      <c r="D57" s="2" t="s">
        <v>13</v>
      </c>
      <c r="E57" s="3">
        <v>46216</v>
      </c>
      <c r="F57" s="3">
        <v>46220</v>
      </c>
      <c r="G57" s="3">
        <v>46220</v>
      </c>
      <c r="H57" s="2" t="s">
        <v>14</v>
      </c>
      <c r="I57" s="2">
        <f t="shared" si="0"/>
        <v>0</v>
      </c>
      <c r="J57" s="2" t="str">
        <f t="shared" si="1"/>
        <v>On Time</v>
      </c>
    </row>
    <row r="58" spans="1:10" x14ac:dyDescent="0.3">
      <c r="A58" s="2" t="s">
        <v>102</v>
      </c>
      <c r="B58" s="2" t="s">
        <v>28</v>
      </c>
      <c r="C58" s="2" t="s">
        <v>12</v>
      </c>
      <c r="D58" s="2" t="s">
        <v>26</v>
      </c>
      <c r="E58" s="3">
        <v>46184</v>
      </c>
      <c r="F58" s="3">
        <v>46187</v>
      </c>
      <c r="G58" s="3">
        <v>46187</v>
      </c>
      <c r="H58" s="2" t="s">
        <v>14</v>
      </c>
      <c r="I58" s="2">
        <f t="shared" si="0"/>
        <v>0</v>
      </c>
      <c r="J58" s="2" t="str">
        <f t="shared" si="1"/>
        <v>On Time</v>
      </c>
    </row>
    <row r="59" spans="1:10" x14ac:dyDescent="0.3">
      <c r="A59" s="2" t="s">
        <v>103</v>
      </c>
      <c r="B59" s="2" t="s">
        <v>77</v>
      </c>
      <c r="C59" s="2" t="s">
        <v>12</v>
      </c>
      <c r="D59" s="2" t="s">
        <v>13</v>
      </c>
      <c r="E59" s="3">
        <v>46207</v>
      </c>
      <c r="F59" s="3">
        <v>46210</v>
      </c>
      <c r="G59" s="3">
        <v>46215</v>
      </c>
      <c r="H59" s="2" t="s">
        <v>29</v>
      </c>
      <c r="I59" s="2">
        <f t="shared" si="0"/>
        <v>5</v>
      </c>
      <c r="J59" s="2" t="str">
        <f t="shared" si="1"/>
        <v>Delayed</v>
      </c>
    </row>
    <row r="60" spans="1:10" x14ac:dyDescent="0.3">
      <c r="A60" s="2" t="s">
        <v>104</v>
      </c>
      <c r="B60" s="2" t="s">
        <v>45</v>
      </c>
      <c r="C60" s="2" t="s">
        <v>32</v>
      </c>
      <c r="D60" s="2" t="s">
        <v>26</v>
      </c>
      <c r="E60" s="3">
        <v>46209</v>
      </c>
      <c r="F60" s="3">
        <v>46211</v>
      </c>
      <c r="G60" s="3">
        <v>46211</v>
      </c>
      <c r="H60" s="2" t="s">
        <v>14</v>
      </c>
      <c r="I60" s="2">
        <f t="shared" si="0"/>
        <v>0</v>
      </c>
      <c r="J60" s="2" t="str">
        <f t="shared" si="1"/>
        <v>On Time</v>
      </c>
    </row>
    <row r="61" spans="1:10" x14ac:dyDescent="0.3">
      <c r="A61" s="2" t="s">
        <v>105</v>
      </c>
      <c r="B61" s="2" t="s">
        <v>106</v>
      </c>
      <c r="C61" s="2" t="s">
        <v>17</v>
      </c>
      <c r="D61" s="2" t="s">
        <v>13</v>
      </c>
      <c r="E61" s="3">
        <v>46176</v>
      </c>
      <c r="F61" s="3">
        <v>46180</v>
      </c>
      <c r="G61" s="3">
        <v>46183</v>
      </c>
      <c r="H61" s="2" t="s">
        <v>19</v>
      </c>
      <c r="I61" s="2">
        <f t="shared" si="0"/>
        <v>3</v>
      </c>
      <c r="J61" s="2" t="str">
        <f t="shared" si="1"/>
        <v>Delayed</v>
      </c>
    </row>
    <row r="62" spans="1:10" x14ac:dyDescent="0.3">
      <c r="A62" s="2" t="s">
        <v>107</v>
      </c>
      <c r="B62" s="2" t="s">
        <v>63</v>
      </c>
      <c r="C62" s="2" t="s">
        <v>12</v>
      </c>
      <c r="D62" s="2" t="s">
        <v>26</v>
      </c>
      <c r="E62" s="3">
        <v>46207</v>
      </c>
      <c r="F62" s="3">
        <v>46209</v>
      </c>
      <c r="G62" s="3">
        <v>46208</v>
      </c>
      <c r="H62" s="2" t="s">
        <v>14</v>
      </c>
      <c r="I62" s="2">
        <f t="shared" si="0"/>
        <v>-1</v>
      </c>
      <c r="J62" s="2" t="str">
        <f t="shared" si="1"/>
        <v>On Time</v>
      </c>
    </row>
    <row r="63" spans="1:10" x14ac:dyDescent="0.3">
      <c r="A63" s="2" t="s">
        <v>108</v>
      </c>
      <c r="B63" s="2" t="s">
        <v>24</v>
      </c>
      <c r="C63" s="2" t="s">
        <v>38</v>
      </c>
      <c r="D63" s="2" t="s">
        <v>13</v>
      </c>
      <c r="E63" s="3">
        <v>46190</v>
      </c>
      <c r="F63" s="3">
        <v>46192</v>
      </c>
      <c r="G63" s="3">
        <v>46192</v>
      </c>
      <c r="H63" s="2" t="s">
        <v>14</v>
      </c>
      <c r="I63" s="2">
        <f t="shared" si="0"/>
        <v>0</v>
      </c>
      <c r="J63" s="2" t="str">
        <f t="shared" si="1"/>
        <v>On Time</v>
      </c>
    </row>
    <row r="64" spans="1:10" x14ac:dyDescent="0.3">
      <c r="A64" s="2" t="s">
        <v>109</v>
      </c>
      <c r="B64" s="2" t="s">
        <v>28</v>
      </c>
      <c r="C64" s="2" t="s">
        <v>12</v>
      </c>
      <c r="D64" s="2" t="s">
        <v>13</v>
      </c>
      <c r="E64" s="3">
        <v>46180</v>
      </c>
      <c r="F64" s="3">
        <v>46182</v>
      </c>
      <c r="G64" s="3">
        <v>46185</v>
      </c>
      <c r="H64" s="2" t="s">
        <v>66</v>
      </c>
      <c r="I64" s="2">
        <f t="shared" si="0"/>
        <v>3</v>
      </c>
      <c r="J64" s="2" t="str">
        <f t="shared" si="1"/>
        <v>Delayed</v>
      </c>
    </row>
    <row r="65" spans="1:10" x14ac:dyDescent="0.3">
      <c r="A65" s="2" t="s">
        <v>110</v>
      </c>
      <c r="B65" s="2" t="s">
        <v>71</v>
      </c>
      <c r="C65" s="2" t="s">
        <v>12</v>
      </c>
      <c r="D65" s="2" t="s">
        <v>13</v>
      </c>
      <c r="E65" s="3">
        <v>46231</v>
      </c>
      <c r="F65" s="3">
        <v>46235</v>
      </c>
      <c r="G65" s="3">
        <v>46234</v>
      </c>
      <c r="H65" s="2" t="s">
        <v>14</v>
      </c>
      <c r="I65" s="2">
        <f t="shared" si="0"/>
        <v>-1</v>
      </c>
      <c r="J65" s="2" t="str">
        <f t="shared" si="1"/>
        <v>On Time</v>
      </c>
    </row>
    <row r="66" spans="1:10" x14ac:dyDescent="0.3">
      <c r="A66" s="2" t="s">
        <v>111</v>
      </c>
      <c r="B66" s="2" t="s">
        <v>16</v>
      </c>
      <c r="C66" s="2" t="s">
        <v>17</v>
      </c>
      <c r="D66" s="2" t="s">
        <v>13</v>
      </c>
      <c r="E66" s="3">
        <v>46178</v>
      </c>
      <c r="F66" s="3">
        <v>46180</v>
      </c>
      <c r="G66" s="3">
        <v>46185</v>
      </c>
      <c r="H66" s="2" t="s">
        <v>52</v>
      </c>
      <c r="I66" s="2">
        <f t="shared" ref="I66:I129" si="3">G66-F66</f>
        <v>5</v>
      </c>
      <c r="J66" s="2" t="str">
        <f t="shared" ref="J66:J129" si="4">IF(I66&gt;0,"Delayed","On Time")</f>
        <v>Delayed</v>
      </c>
    </row>
    <row r="67" spans="1:10" x14ac:dyDescent="0.3">
      <c r="A67" s="2" t="s">
        <v>112</v>
      </c>
      <c r="B67" s="2" t="s">
        <v>71</v>
      </c>
      <c r="C67" s="2" t="s">
        <v>38</v>
      </c>
      <c r="D67" s="2" t="s">
        <v>26</v>
      </c>
      <c r="E67" s="3">
        <v>46231</v>
      </c>
      <c r="F67" s="3">
        <v>46233</v>
      </c>
      <c r="G67" s="3">
        <v>46232</v>
      </c>
      <c r="H67" s="2" t="s">
        <v>14</v>
      </c>
      <c r="I67" s="2">
        <f t="shared" si="3"/>
        <v>-1</v>
      </c>
      <c r="J67" s="2" t="str">
        <f t="shared" si="4"/>
        <v>On Time</v>
      </c>
    </row>
    <row r="68" spans="1:10" x14ac:dyDescent="0.3">
      <c r="A68" s="2" t="s">
        <v>113</v>
      </c>
      <c r="B68" s="2" t="s">
        <v>85</v>
      </c>
      <c r="C68" s="2" t="s">
        <v>38</v>
      </c>
      <c r="D68" s="2" t="s">
        <v>18</v>
      </c>
      <c r="E68" s="3">
        <v>46224</v>
      </c>
      <c r="F68" s="3">
        <v>46228</v>
      </c>
      <c r="G68" s="3">
        <v>46230</v>
      </c>
      <c r="H68" s="2" t="s">
        <v>52</v>
      </c>
      <c r="I68" s="2">
        <f t="shared" si="3"/>
        <v>2</v>
      </c>
      <c r="J68" s="2" t="str">
        <f t="shared" si="4"/>
        <v>Delayed</v>
      </c>
    </row>
    <row r="69" spans="1:10" x14ac:dyDescent="0.3">
      <c r="A69" s="2" t="s">
        <v>114</v>
      </c>
      <c r="B69" s="2" t="s">
        <v>11</v>
      </c>
      <c r="C69" s="2" t="s">
        <v>12</v>
      </c>
      <c r="D69" s="2" t="s">
        <v>18</v>
      </c>
      <c r="E69" s="3">
        <v>46191</v>
      </c>
      <c r="F69" s="3">
        <v>46194</v>
      </c>
      <c r="G69" s="3">
        <v>46194</v>
      </c>
      <c r="H69" s="2" t="s">
        <v>14</v>
      </c>
      <c r="I69" s="2">
        <f t="shared" si="3"/>
        <v>0</v>
      </c>
      <c r="J69" s="2" t="str">
        <f t="shared" si="4"/>
        <v>On Time</v>
      </c>
    </row>
    <row r="70" spans="1:10" x14ac:dyDescent="0.3">
      <c r="A70" s="2" t="s">
        <v>115</v>
      </c>
      <c r="B70" s="2" t="s">
        <v>116</v>
      </c>
      <c r="C70" s="2" t="s">
        <v>12</v>
      </c>
      <c r="D70" s="2" t="s">
        <v>26</v>
      </c>
      <c r="E70" s="3">
        <v>46183</v>
      </c>
      <c r="F70" s="3">
        <v>46187</v>
      </c>
      <c r="G70" s="3">
        <v>46186</v>
      </c>
      <c r="H70" s="2" t="s">
        <v>14</v>
      </c>
      <c r="I70" s="2">
        <f t="shared" si="3"/>
        <v>-1</v>
      </c>
      <c r="J70" s="2" t="str">
        <f t="shared" si="4"/>
        <v>On Time</v>
      </c>
    </row>
    <row r="71" spans="1:10" x14ac:dyDescent="0.3">
      <c r="A71" s="2" t="s">
        <v>117</v>
      </c>
      <c r="B71" s="2" t="s">
        <v>106</v>
      </c>
      <c r="C71" s="2" t="s">
        <v>12</v>
      </c>
      <c r="D71" s="2" t="s">
        <v>26</v>
      </c>
      <c r="E71" s="3">
        <v>46184</v>
      </c>
      <c r="F71" s="3">
        <v>46188</v>
      </c>
      <c r="G71" s="3">
        <v>46187</v>
      </c>
      <c r="H71" s="2" t="s">
        <v>14</v>
      </c>
      <c r="I71" s="2">
        <f t="shared" si="3"/>
        <v>-1</v>
      </c>
      <c r="J71" s="2" t="str">
        <f t="shared" si="4"/>
        <v>On Time</v>
      </c>
    </row>
    <row r="72" spans="1:10" x14ac:dyDescent="0.3">
      <c r="A72" s="2" t="s">
        <v>118</v>
      </c>
      <c r="B72" s="2" t="s">
        <v>63</v>
      </c>
      <c r="C72" s="2" t="s">
        <v>12</v>
      </c>
      <c r="D72" s="2" t="s">
        <v>18</v>
      </c>
      <c r="E72" s="3">
        <v>46211</v>
      </c>
      <c r="F72" s="3">
        <v>46213</v>
      </c>
      <c r="G72" s="3">
        <v>46213</v>
      </c>
      <c r="H72" s="2" t="s">
        <v>14</v>
      </c>
      <c r="I72" s="2">
        <f t="shared" si="3"/>
        <v>0</v>
      </c>
      <c r="J72" s="2" t="str">
        <f t="shared" si="4"/>
        <v>On Time</v>
      </c>
    </row>
    <row r="73" spans="1:10" x14ac:dyDescent="0.3">
      <c r="A73" s="2" t="s">
        <v>119</v>
      </c>
      <c r="B73" s="2" t="s">
        <v>77</v>
      </c>
      <c r="C73" s="2" t="s">
        <v>38</v>
      </c>
      <c r="D73" s="2" t="s">
        <v>26</v>
      </c>
      <c r="E73" s="3">
        <v>46207</v>
      </c>
      <c r="F73" s="3">
        <v>46210</v>
      </c>
      <c r="G73" s="3">
        <v>46209</v>
      </c>
      <c r="H73" s="2" t="s">
        <v>14</v>
      </c>
      <c r="I73" s="2">
        <f t="shared" si="3"/>
        <v>-1</v>
      </c>
      <c r="J73" s="2" t="str">
        <f t="shared" si="4"/>
        <v>On Time</v>
      </c>
    </row>
    <row r="74" spans="1:10" x14ac:dyDescent="0.3">
      <c r="A74" s="2" t="s">
        <v>120</v>
      </c>
      <c r="B74" s="2" t="s">
        <v>21</v>
      </c>
      <c r="C74" s="2" t="s">
        <v>17</v>
      </c>
      <c r="D74" s="2" t="s">
        <v>13</v>
      </c>
      <c r="E74" s="3">
        <v>46201</v>
      </c>
      <c r="F74" s="3">
        <v>46204</v>
      </c>
      <c r="G74" s="3">
        <v>46207</v>
      </c>
      <c r="H74" s="2" t="s">
        <v>29</v>
      </c>
      <c r="I74" s="2">
        <f t="shared" si="3"/>
        <v>3</v>
      </c>
      <c r="J74" s="2" t="str">
        <f t="shared" si="4"/>
        <v>Delayed</v>
      </c>
    </row>
    <row r="75" spans="1:10" x14ac:dyDescent="0.3">
      <c r="A75" s="2" t="s">
        <v>121</v>
      </c>
      <c r="B75" s="2" t="s">
        <v>61</v>
      </c>
      <c r="C75" s="2" t="s">
        <v>38</v>
      </c>
      <c r="D75" s="2" t="s">
        <v>13</v>
      </c>
      <c r="E75" s="3">
        <v>46238</v>
      </c>
      <c r="F75" s="3">
        <v>46242</v>
      </c>
      <c r="G75" s="3">
        <v>46247</v>
      </c>
      <c r="H75" s="2" t="s">
        <v>19</v>
      </c>
      <c r="I75" s="2">
        <f t="shared" si="3"/>
        <v>5</v>
      </c>
      <c r="J75" s="2" t="str">
        <f t="shared" si="4"/>
        <v>Delayed</v>
      </c>
    </row>
    <row r="76" spans="1:10" x14ac:dyDescent="0.3">
      <c r="A76" s="2" t="s">
        <v>122</v>
      </c>
      <c r="B76" s="2" t="s">
        <v>61</v>
      </c>
      <c r="C76" s="2" t="s">
        <v>32</v>
      </c>
      <c r="D76" s="2" t="s">
        <v>26</v>
      </c>
      <c r="E76" s="3">
        <v>46192</v>
      </c>
      <c r="F76" s="3">
        <v>46195</v>
      </c>
      <c r="G76" s="3">
        <v>46194</v>
      </c>
      <c r="H76" s="2" t="s">
        <v>14</v>
      </c>
      <c r="I76" s="2">
        <f t="shared" si="3"/>
        <v>-1</v>
      </c>
      <c r="J76" s="2" t="str">
        <f t="shared" si="4"/>
        <v>On Time</v>
      </c>
    </row>
    <row r="77" spans="1:10" x14ac:dyDescent="0.3">
      <c r="A77" s="2" t="s">
        <v>123</v>
      </c>
      <c r="B77" s="2" t="s">
        <v>54</v>
      </c>
      <c r="C77" s="2" t="s">
        <v>32</v>
      </c>
      <c r="D77" s="2" t="s">
        <v>13</v>
      </c>
      <c r="E77" s="3">
        <v>46203</v>
      </c>
      <c r="F77" s="3">
        <v>46205</v>
      </c>
      <c r="G77" s="3">
        <v>46205</v>
      </c>
      <c r="H77" s="2" t="s">
        <v>14</v>
      </c>
      <c r="I77" s="2">
        <f t="shared" si="3"/>
        <v>0</v>
      </c>
      <c r="J77" s="2" t="str">
        <f t="shared" si="4"/>
        <v>On Time</v>
      </c>
    </row>
    <row r="78" spans="1:10" x14ac:dyDescent="0.3">
      <c r="A78" s="2" t="s">
        <v>124</v>
      </c>
      <c r="B78" s="2" t="s">
        <v>85</v>
      </c>
      <c r="C78" s="2" t="s">
        <v>38</v>
      </c>
      <c r="D78" s="2" t="s">
        <v>13</v>
      </c>
      <c r="E78" s="3">
        <v>46237</v>
      </c>
      <c r="F78" s="3">
        <v>46239</v>
      </c>
      <c r="G78" s="3">
        <v>46244</v>
      </c>
      <c r="H78" s="2" t="s">
        <v>52</v>
      </c>
      <c r="I78" s="2">
        <f t="shared" si="3"/>
        <v>5</v>
      </c>
      <c r="J78" s="2" t="str">
        <f t="shared" si="4"/>
        <v>Delayed</v>
      </c>
    </row>
    <row r="79" spans="1:10" x14ac:dyDescent="0.3">
      <c r="A79" s="2" t="s">
        <v>125</v>
      </c>
      <c r="B79" s="2" t="s">
        <v>40</v>
      </c>
      <c r="C79" s="2" t="s">
        <v>38</v>
      </c>
      <c r="D79" s="2" t="s">
        <v>18</v>
      </c>
      <c r="E79" s="3">
        <v>46238</v>
      </c>
      <c r="F79" s="3">
        <v>46240</v>
      </c>
      <c r="G79" s="3">
        <v>46240</v>
      </c>
      <c r="H79" s="2" t="s">
        <v>14</v>
      </c>
      <c r="I79" s="2">
        <f t="shared" si="3"/>
        <v>0</v>
      </c>
      <c r="J79" s="2" t="str">
        <f t="shared" si="4"/>
        <v>On Time</v>
      </c>
    </row>
    <row r="80" spans="1:10" x14ac:dyDescent="0.3">
      <c r="A80" s="2" t="s">
        <v>126</v>
      </c>
      <c r="B80" s="2" t="s">
        <v>116</v>
      </c>
      <c r="C80" s="2" t="s">
        <v>12</v>
      </c>
      <c r="D80" s="2" t="s">
        <v>26</v>
      </c>
      <c r="E80" s="3">
        <v>46177</v>
      </c>
      <c r="F80" s="3">
        <v>46179</v>
      </c>
      <c r="G80" s="3">
        <v>46182</v>
      </c>
      <c r="H80" s="2" t="s">
        <v>19</v>
      </c>
      <c r="I80" s="2">
        <f t="shared" si="3"/>
        <v>3</v>
      </c>
      <c r="J80" s="2" t="str">
        <f t="shared" si="4"/>
        <v>Delayed</v>
      </c>
    </row>
    <row r="81" spans="1:10" x14ac:dyDescent="0.3">
      <c r="A81" s="2" t="s">
        <v>127</v>
      </c>
      <c r="B81" s="2" t="s">
        <v>128</v>
      </c>
      <c r="C81" s="2" t="s">
        <v>38</v>
      </c>
      <c r="D81" s="2" t="s">
        <v>18</v>
      </c>
      <c r="E81" s="3">
        <v>46180</v>
      </c>
      <c r="F81" s="3">
        <v>46184</v>
      </c>
      <c r="G81" s="3">
        <v>46189</v>
      </c>
      <c r="H81" s="2" t="s">
        <v>52</v>
      </c>
      <c r="I81" s="2">
        <f t="shared" si="3"/>
        <v>5</v>
      </c>
      <c r="J81" s="2" t="str">
        <f t="shared" si="4"/>
        <v>Delayed</v>
      </c>
    </row>
    <row r="82" spans="1:10" x14ac:dyDescent="0.3">
      <c r="A82" s="2" t="s">
        <v>129</v>
      </c>
      <c r="B82" s="2" t="s">
        <v>65</v>
      </c>
      <c r="C82" s="2" t="s">
        <v>32</v>
      </c>
      <c r="D82" s="2" t="s">
        <v>26</v>
      </c>
      <c r="E82" s="3">
        <v>46232</v>
      </c>
      <c r="F82" s="3">
        <v>46234</v>
      </c>
      <c r="G82" s="3">
        <v>46234</v>
      </c>
      <c r="H82" s="2" t="s">
        <v>14</v>
      </c>
      <c r="I82" s="2">
        <f t="shared" si="3"/>
        <v>0</v>
      </c>
      <c r="J82" s="2" t="str">
        <f t="shared" si="4"/>
        <v>On Time</v>
      </c>
    </row>
    <row r="83" spans="1:10" x14ac:dyDescent="0.3">
      <c r="A83" s="2" t="s">
        <v>130</v>
      </c>
      <c r="B83" s="2" t="s">
        <v>85</v>
      </c>
      <c r="C83" s="2" t="s">
        <v>17</v>
      </c>
      <c r="D83" s="2" t="s">
        <v>18</v>
      </c>
      <c r="E83" s="3">
        <v>46234</v>
      </c>
      <c r="F83" s="3">
        <v>46237</v>
      </c>
      <c r="G83" s="3">
        <v>46236</v>
      </c>
      <c r="H83" s="2" t="s">
        <v>14</v>
      </c>
      <c r="I83" s="2">
        <f t="shared" si="3"/>
        <v>-1</v>
      </c>
      <c r="J83" s="2" t="str">
        <f t="shared" si="4"/>
        <v>On Time</v>
      </c>
    </row>
    <row r="84" spans="1:10" x14ac:dyDescent="0.3">
      <c r="A84" s="2" t="s">
        <v>131</v>
      </c>
      <c r="B84" s="2" t="s">
        <v>21</v>
      </c>
      <c r="C84" s="2" t="s">
        <v>12</v>
      </c>
      <c r="D84" s="2" t="s">
        <v>26</v>
      </c>
      <c r="E84" s="3">
        <v>46232</v>
      </c>
      <c r="F84" s="3">
        <v>46235</v>
      </c>
      <c r="G84" s="3">
        <v>46235</v>
      </c>
      <c r="H84" s="2" t="s">
        <v>14</v>
      </c>
      <c r="I84" s="2">
        <f t="shared" si="3"/>
        <v>0</v>
      </c>
      <c r="J84" s="2" t="str">
        <f t="shared" si="4"/>
        <v>On Time</v>
      </c>
    </row>
    <row r="85" spans="1:10" x14ac:dyDescent="0.3">
      <c r="A85" s="2" t="s">
        <v>132</v>
      </c>
      <c r="B85" s="2" t="s">
        <v>65</v>
      </c>
      <c r="C85" s="2" t="s">
        <v>32</v>
      </c>
      <c r="D85" s="2" t="s">
        <v>26</v>
      </c>
      <c r="E85" s="3">
        <v>46199</v>
      </c>
      <c r="F85" s="3">
        <v>46201</v>
      </c>
      <c r="G85" s="3">
        <v>46200</v>
      </c>
      <c r="H85" s="2" t="s">
        <v>14</v>
      </c>
      <c r="I85" s="2">
        <f t="shared" si="3"/>
        <v>-1</v>
      </c>
      <c r="J85" s="2" t="str">
        <f t="shared" si="4"/>
        <v>On Time</v>
      </c>
    </row>
    <row r="86" spans="1:10" x14ac:dyDescent="0.3">
      <c r="A86" s="2" t="s">
        <v>133</v>
      </c>
      <c r="B86" s="2" t="s">
        <v>77</v>
      </c>
      <c r="C86" s="2" t="s">
        <v>32</v>
      </c>
      <c r="D86" s="2" t="s">
        <v>18</v>
      </c>
      <c r="E86" s="3">
        <v>46246</v>
      </c>
      <c r="F86" s="3">
        <v>46248</v>
      </c>
      <c r="G86" s="3">
        <v>46249</v>
      </c>
      <c r="H86" s="2" t="s">
        <v>29</v>
      </c>
      <c r="I86" s="2">
        <f t="shared" si="3"/>
        <v>1</v>
      </c>
      <c r="J86" s="2" t="str">
        <f t="shared" si="4"/>
        <v>Delayed</v>
      </c>
    </row>
    <row r="87" spans="1:10" x14ac:dyDescent="0.3">
      <c r="A87" s="2" t="s">
        <v>134</v>
      </c>
      <c r="B87" s="2" t="s">
        <v>77</v>
      </c>
      <c r="C87" s="2" t="s">
        <v>17</v>
      </c>
      <c r="D87" s="2" t="s">
        <v>18</v>
      </c>
      <c r="E87" s="3">
        <v>46201</v>
      </c>
      <c r="F87" s="3">
        <v>46205</v>
      </c>
      <c r="G87" s="3">
        <v>46204</v>
      </c>
      <c r="H87" s="2" t="s">
        <v>14</v>
      </c>
      <c r="I87" s="2">
        <f t="shared" si="3"/>
        <v>-1</v>
      </c>
      <c r="J87" s="2" t="str">
        <f t="shared" si="4"/>
        <v>On Time</v>
      </c>
    </row>
    <row r="88" spans="1:10" x14ac:dyDescent="0.3">
      <c r="A88" s="2" t="s">
        <v>135</v>
      </c>
      <c r="B88" s="2" t="s">
        <v>57</v>
      </c>
      <c r="C88" s="2" t="s">
        <v>38</v>
      </c>
      <c r="D88" s="2" t="s">
        <v>13</v>
      </c>
      <c r="E88" s="3">
        <v>46189</v>
      </c>
      <c r="F88" s="3">
        <v>46193</v>
      </c>
      <c r="G88" s="3">
        <v>46194</v>
      </c>
      <c r="H88" s="2" t="s">
        <v>29</v>
      </c>
      <c r="I88" s="2">
        <f t="shared" si="3"/>
        <v>1</v>
      </c>
      <c r="J88" s="2" t="str">
        <f t="shared" si="4"/>
        <v>Delayed</v>
      </c>
    </row>
    <row r="89" spans="1:10" x14ac:dyDescent="0.3">
      <c r="A89" s="2" t="s">
        <v>136</v>
      </c>
      <c r="B89" s="2" t="s">
        <v>54</v>
      </c>
      <c r="C89" s="2" t="s">
        <v>32</v>
      </c>
      <c r="D89" s="2" t="s">
        <v>13</v>
      </c>
      <c r="E89" s="3">
        <v>46183</v>
      </c>
      <c r="F89" s="3">
        <v>46187</v>
      </c>
      <c r="G89" s="3">
        <v>46186</v>
      </c>
      <c r="H89" s="2" t="s">
        <v>14</v>
      </c>
      <c r="I89" s="2">
        <f t="shared" si="3"/>
        <v>-1</v>
      </c>
      <c r="J89" s="2" t="str">
        <f t="shared" si="4"/>
        <v>On Time</v>
      </c>
    </row>
    <row r="90" spans="1:10" x14ac:dyDescent="0.3">
      <c r="A90" s="2" t="s">
        <v>137</v>
      </c>
      <c r="B90" s="2" t="s">
        <v>77</v>
      </c>
      <c r="C90" s="2" t="s">
        <v>38</v>
      </c>
      <c r="D90" s="2" t="s">
        <v>26</v>
      </c>
      <c r="E90" s="3">
        <v>46200</v>
      </c>
      <c r="F90" s="3">
        <v>46202</v>
      </c>
      <c r="G90" s="3">
        <v>46202</v>
      </c>
      <c r="H90" s="2" t="s">
        <v>14</v>
      </c>
      <c r="I90" s="2">
        <f t="shared" si="3"/>
        <v>0</v>
      </c>
      <c r="J90" s="2" t="str">
        <f t="shared" si="4"/>
        <v>On Time</v>
      </c>
    </row>
    <row r="91" spans="1:10" x14ac:dyDescent="0.3">
      <c r="A91" s="2" t="s">
        <v>138</v>
      </c>
      <c r="B91" s="2" t="s">
        <v>49</v>
      </c>
      <c r="C91" s="2" t="s">
        <v>32</v>
      </c>
      <c r="D91" s="2" t="s">
        <v>13</v>
      </c>
      <c r="E91" s="3">
        <v>46190</v>
      </c>
      <c r="F91" s="3">
        <v>46194</v>
      </c>
      <c r="G91" s="3">
        <v>46193</v>
      </c>
      <c r="H91" s="2" t="s">
        <v>14</v>
      </c>
      <c r="I91" s="2">
        <f t="shared" si="3"/>
        <v>-1</v>
      </c>
      <c r="J91" s="2" t="str">
        <f t="shared" si="4"/>
        <v>On Time</v>
      </c>
    </row>
    <row r="92" spans="1:10" x14ac:dyDescent="0.3">
      <c r="A92" s="2" t="s">
        <v>139</v>
      </c>
      <c r="B92" s="2" t="s">
        <v>36</v>
      </c>
      <c r="C92" s="2" t="s">
        <v>17</v>
      </c>
      <c r="D92" s="2" t="s">
        <v>18</v>
      </c>
      <c r="E92" s="3">
        <v>46220</v>
      </c>
      <c r="F92" s="3">
        <v>46222</v>
      </c>
      <c r="G92" s="3">
        <v>46221</v>
      </c>
      <c r="H92" s="2" t="s">
        <v>14</v>
      </c>
      <c r="I92" s="2">
        <f t="shared" si="3"/>
        <v>-1</v>
      </c>
      <c r="J92" s="2" t="str">
        <f t="shared" si="4"/>
        <v>On Time</v>
      </c>
    </row>
    <row r="93" spans="1:10" x14ac:dyDescent="0.3">
      <c r="A93" s="2" t="s">
        <v>140</v>
      </c>
      <c r="B93" s="2" t="s">
        <v>128</v>
      </c>
      <c r="C93" s="2" t="s">
        <v>17</v>
      </c>
      <c r="D93" s="2" t="s">
        <v>26</v>
      </c>
      <c r="E93" s="3">
        <v>46174</v>
      </c>
      <c r="F93" s="3">
        <v>46177</v>
      </c>
      <c r="G93" s="3">
        <v>46176</v>
      </c>
      <c r="H93" s="2" t="s">
        <v>14</v>
      </c>
      <c r="I93" s="2">
        <f t="shared" si="3"/>
        <v>-1</v>
      </c>
      <c r="J93" s="2" t="str">
        <f t="shared" si="4"/>
        <v>On Time</v>
      </c>
    </row>
    <row r="94" spans="1:10" x14ac:dyDescent="0.3">
      <c r="A94" s="2" t="s">
        <v>141</v>
      </c>
      <c r="B94" s="2" t="s">
        <v>142</v>
      </c>
      <c r="C94" s="2" t="s">
        <v>12</v>
      </c>
      <c r="D94" s="2" t="s">
        <v>13</v>
      </c>
      <c r="E94" s="3">
        <v>46218</v>
      </c>
      <c r="F94" s="3">
        <v>46221</v>
      </c>
      <c r="G94" s="3">
        <v>46220</v>
      </c>
      <c r="H94" s="2" t="s">
        <v>14</v>
      </c>
      <c r="I94" s="2">
        <f t="shared" si="3"/>
        <v>-1</v>
      </c>
      <c r="J94" s="2" t="str">
        <f t="shared" si="4"/>
        <v>On Time</v>
      </c>
    </row>
    <row r="95" spans="1:10" x14ac:dyDescent="0.3">
      <c r="A95" s="2" t="s">
        <v>143</v>
      </c>
      <c r="B95" s="2" t="s">
        <v>54</v>
      </c>
      <c r="C95" s="2" t="s">
        <v>32</v>
      </c>
      <c r="D95" s="2" t="s">
        <v>13</v>
      </c>
      <c r="E95" s="3">
        <v>46224</v>
      </c>
      <c r="F95" s="3">
        <v>46226</v>
      </c>
      <c r="G95" s="3">
        <v>46226</v>
      </c>
      <c r="H95" s="2" t="s">
        <v>14</v>
      </c>
      <c r="I95" s="2">
        <f t="shared" si="3"/>
        <v>0</v>
      </c>
      <c r="J95" s="2" t="str">
        <f t="shared" si="4"/>
        <v>On Time</v>
      </c>
    </row>
    <row r="96" spans="1:10" x14ac:dyDescent="0.3">
      <c r="A96" s="2" t="s">
        <v>144</v>
      </c>
      <c r="B96" s="2" t="s">
        <v>45</v>
      </c>
      <c r="C96" s="2" t="s">
        <v>17</v>
      </c>
      <c r="D96" s="2" t="s">
        <v>18</v>
      </c>
      <c r="E96" s="3">
        <v>46211</v>
      </c>
      <c r="F96" s="3">
        <v>46214</v>
      </c>
      <c r="G96" s="3">
        <v>46213</v>
      </c>
      <c r="H96" s="2" t="s">
        <v>14</v>
      </c>
      <c r="I96" s="2">
        <f t="shared" si="3"/>
        <v>-1</v>
      </c>
      <c r="J96" s="2" t="str">
        <f t="shared" si="4"/>
        <v>On Time</v>
      </c>
    </row>
    <row r="97" spans="1:10" x14ac:dyDescent="0.3">
      <c r="A97" s="2" t="s">
        <v>145</v>
      </c>
      <c r="B97" s="2" t="s">
        <v>128</v>
      </c>
      <c r="C97" s="2" t="s">
        <v>17</v>
      </c>
      <c r="D97" s="2" t="s">
        <v>13</v>
      </c>
      <c r="E97" s="3">
        <v>46228</v>
      </c>
      <c r="F97" s="3">
        <v>46231</v>
      </c>
      <c r="G97" s="3">
        <v>46230</v>
      </c>
      <c r="H97" s="2" t="s">
        <v>14</v>
      </c>
      <c r="I97" s="2">
        <f t="shared" si="3"/>
        <v>-1</v>
      </c>
      <c r="J97" s="2" t="str">
        <f t="shared" si="4"/>
        <v>On Time</v>
      </c>
    </row>
    <row r="98" spans="1:10" x14ac:dyDescent="0.3">
      <c r="A98" s="2" t="s">
        <v>146</v>
      </c>
      <c r="B98" s="2" t="s">
        <v>28</v>
      </c>
      <c r="C98" s="2" t="s">
        <v>17</v>
      </c>
      <c r="D98" s="2" t="s">
        <v>18</v>
      </c>
      <c r="E98" s="3">
        <v>46210</v>
      </c>
      <c r="F98" s="3">
        <v>46214</v>
      </c>
      <c r="G98" s="3">
        <v>46214</v>
      </c>
      <c r="H98" s="2" t="s">
        <v>14</v>
      </c>
      <c r="I98" s="2">
        <f t="shared" si="3"/>
        <v>0</v>
      </c>
      <c r="J98" s="2" t="str">
        <f t="shared" si="4"/>
        <v>On Time</v>
      </c>
    </row>
    <row r="99" spans="1:10" x14ac:dyDescent="0.3">
      <c r="A99" s="2" t="s">
        <v>147</v>
      </c>
      <c r="B99" s="2" t="s">
        <v>77</v>
      </c>
      <c r="C99" s="2" t="s">
        <v>38</v>
      </c>
      <c r="D99" s="2" t="s">
        <v>18</v>
      </c>
      <c r="E99" s="3">
        <v>46214</v>
      </c>
      <c r="F99" s="3">
        <v>46216</v>
      </c>
      <c r="G99" s="3">
        <v>46215</v>
      </c>
      <c r="H99" s="2" t="s">
        <v>14</v>
      </c>
      <c r="I99" s="2">
        <f t="shared" si="3"/>
        <v>-1</v>
      </c>
      <c r="J99" s="2" t="str">
        <f t="shared" si="4"/>
        <v>On Time</v>
      </c>
    </row>
    <row r="100" spans="1:10" x14ac:dyDescent="0.3">
      <c r="A100" s="2" t="s">
        <v>148</v>
      </c>
      <c r="B100" s="2" t="s">
        <v>36</v>
      </c>
      <c r="C100" s="2" t="s">
        <v>17</v>
      </c>
      <c r="D100" s="2" t="s">
        <v>18</v>
      </c>
      <c r="E100" s="3">
        <v>46225</v>
      </c>
      <c r="F100" s="3">
        <v>46229</v>
      </c>
      <c r="G100" s="3">
        <v>46229</v>
      </c>
      <c r="H100" s="2" t="s">
        <v>14</v>
      </c>
      <c r="I100" s="2">
        <f t="shared" si="3"/>
        <v>0</v>
      </c>
      <c r="J100" s="2" t="str">
        <f t="shared" si="4"/>
        <v>On Time</v>
      </c>
    </row>
    <row r="101" spans="1:10" x14ac:dyDescent="0.3">
      <c r="A101" s="2" t="s">
        <v>149</v>
      </c>
      <c r="B101" s="2" t="s">
        <v>40</v>
      </c>
      <c r="C101" s="2" t="s">
        <v>38</v>
      </c>
      <c r="D101" s="2" t="s">
        <v>13</v>
      </c>
      <c r="E101" s="3">
        <v>46191</v>
      </c>
      <c r="F101" s="3">
        <v>46195</v>
      </c>
      <c r="G101" s="3">
        <v>46194</v>
      </c>
      <c r="H101" s="2" t="s">
        <v>14</v>
      </c>
      <c r="I101" s="2">
        <f t="shared" si="3"/>
        <v>-1</v>
      </c>
      <c r="J101" s="2" t="str">
        <f t="shared" si="4"/>
        <v>On Time</v>
      </c>
    </row>
    <row r="102" spans="1:10" x14ac:dyDescent="0.3">
      <c r="A102" s="2" t="s">
        <v>150</v>
      </c>
      <c r="B102" s="2" t="s">
        <v>40</v>
      </c>
      <c r="C102" s="2" t="s">
        <v>12</v>
      </c>
      <c r="D102" s="2" t="s">
        <v>26</v>
      </c>
      <c r="E102" s="3">
        <v>46234</v>
      </c>
      <c r="F102" s="3">
        <v>46237</v>
      </c>
      <c r="G102" s="3">
        <v>46236</v>
      </c>
      <c r="H102" s="2" t="s">
        <v>14</v>
      </c>
      <c r="I102" s="2">
        <f t="shared" si="3"/>
        <v>-1</v>
      </c>
      <c r="J102" s="2" t="str">
        <f t="shared" si="4"/>
        <v>On Time</v>
      </c>
    </row>
    <row r="103" spans="1:10" x14ac:dyDescent="0.3">
      <c r="A103" s="2" t="s">
        <v>151</v>
      </c>
      <c r="B103" s="2" t="s">
        <v>77</v>
      </c>
      <c r="C103" s="2" t="s">
        <v>32</v>
      </c>
      <c r="D103" s="2" t="s">
        <v>13</v>
      </c>
      <c r="E103" s="3">
        <v>46204</v>
      </c>
      <c r="F103" s="3">
        <v>46207</v>
      </c>
      <c r="G103" s="3">
        <v>46206</v>
      </c>
      <c r="H103" s="2" t="s">
        <v>14</v>
      </c>
      <c r="I103" s="2">
        <f t="shared" si="3"/>
        <v>-1</v>
      </c>
      <c r="J103" s="2" t="str">
        <f t="shared" si="4"/>
        <v>On Time</v>
      </c>
    </row>
    <row r="104" spans="1:10" x14ac:dyDescent="0.3">
      <c r="A104" s="2" t="s">
        <v>152</v>
      </c>
      <c r="B104" s="2" t="s">
        <v>28</v>
      </c>
      <c r="C104" s="2" t="s">
        <v>12</v>
      </c>
      <c r="D104" s="2" t="s">
        <v>18</v>
      </c>
      <c r="E104" s="3">
        <v>46194</v>
      </c>
      <c r="F104" s="3">
        <v>46196</v>
      </c>
      <c r="G104" s="3">
        <v>46203</v>
      </c>
      <c r="H104" s="2" t="s">
        <v>29</v>
      </c>
      <c r="I104" s="2">
        <f t="shared" si="3"/>
        <v>7</v>
      </c>
      <c r="J104" s="2" t="str">
        <f t="shared" si="4"/>
        <v>Delayed</v>
      </c>
    </row>
    <row r="105" spans="1:10" x14ac:dyDescent="0.3">
      <c r="A105" s="2" t="s">
        <v>153</v>
      </c>
      <c r="B105" s="2" t="s">
        <v>24</v>
      </c>
      <c r="C105" s="2" t="s">
        <v>12</v>
      </c>
      <c r="D105" s="2" t="s">
        <v>13</v>
      </c>
      <c r="E105" s="3">
        <v>46216</v>
      </c>
      <c r="F105" s="3">
        <v>46219</v>
      </c>
      <c r="G105" s="3">
        <v>46219</v>
      </c>
      <c r="H105" s="2" t="s">
        <v>14</v>
      </c>
      <c r="I105" s="2">
        <f t="shared" si="3"/>
        <v>0</v>
      </c>
      <c r="J105" s="2" t="str">
        <f t="shared" si="4"/>
        <v>On Time</v>
      </c>
    </row>
    <row r="106" spans="1:10" x14ac:dyDescent="0.3">
      <c r="A106" s="2" t="s">
        <v>154</v>
      </c>
      <c r="B106" s="2" t="s">
        <v>21</v>
      </c>
      <c r="C106" s="2" t="s">
        <v>17</v>
      </c>
      <c r="D106" s="2" t="s">
        <v>26</v>
      </c>
      <c r="E106" s="3">
        <v>46217</v>
      </c>
      <c r="F106" s="3">
        <v>46221</v>
      </c>
      <c r="G106" s="3">
        <v>46223</v>
      </c>
      <c r="H106" s="2" t="s">
        <v>66</v>
      </c>
      <c r="I106" s="2">
        <f t="shared" si="3"/>
        <v>2</v>
      </c>
      <c r="J106" s="2" t="str">
        <f t="shared" si="4"/>
        <v>Delayed</v>
      </c>
    </row>
    <row r="107" spans="1:10" x14ac:dyDescent="0.3">
      <c r="A107" s="2" t="s">
        <v>155</v>
      </c>
      <c r="B107" s="2" t="s">
        <v>77</v>
      </c>
      <c r="C107" s="2" t="s">
        <v>12</v>
      </c>
      <c r="D107" s="2" t="s">
        <v>26</v>
      </c>
      <c r="E107" s="3">
        <v>46226</v>
      </c>
      <c r="F107" s="3">
        <v>46229</v>
      </c>
      <c r="G107" s="3">
        <v>46229</v>
      </c>
      <c r="H107" s="2" t="s">
        <v>14</v>
      </c>
      <c r="I107" s="2">
        <f t="shared" si="3"/>
        <v>0</v>
      </c>
      <c r="J107" s="2" t="str">
        <f t="shared" si="4"/>
        <v>On Time</v>
      </c>
    </row>
    <row r="108" spans="1:10" x14ac:dyDescent="0.3">
      <c r="A108" s="2" t="s">
        <v>156</v>
      </c>
      <c r="B108" s="2" t="s">
        <v>128</v>
      </c>
      <c r="C108" s="2" t="s">
        <v>32</v>
      </c>
      <c r="D108" s="2" t="s">
        <v>13</v>
      </c>
      <c r="E108" s="3">
        <v>46181</v>
      </c>
      <c r="F108" s="3">
        <v>46184</v>
      </c>
      <c r="G108" s="3">
        <v>46187</v>
      </c>
      <c r="H108" s="2" t="s">
        <v>52</v>
      </c>
      <c r="I108" s="2">
        <f t="shared" si="3"/>
        <v>3</v>
      </c>
      <c r="J108" s="2" t="str">
        <f t="shared" si="4"/>
        <v>Delayed</v>
      </c>
    </row>
    <row r="109" spans="1:10" x14ac:dyDescent="0.3">
      <c r="A109" s="2" t="s">
        <v>157</v>
      </c>
      <c r="B109" s="2" t="s">
        <v>85</v>
      </c>
      <c r="C109" s="2" t="s">
        <v>12</v>
      </c>
      <c r="D109" s="2" t="s">
        <v>26</v>
      </c>
      <c r="E109" s="3">
        <v>46208</v>
      </c>
      <c r="F109" s="3">
        <v>46210</v>
      </c>
      <c r="G109" s="3">
        <v>46209</v>
      </c>
      <c r="H109" s="2" t="s">
        <v>14</v>
      </c>
      <c r="I109" s="2">
        <f t="shared" si="3"/>
        <v>-1</v>
      </c>
      <c r="J109" s="2" t="str">
        <f t="shared" si="4"/>
        <v>On Time</v>
      </c>
    </row>
    <row r="110" spans="1:10" x14ac:dyDescent="0.3">
      <c r="A110" s="2" t="s">
        <v>158</v>
      </c>
      <c r="B110" s="2" t="s">
        <v>106</v>
      </c>
      <c r="C110" s="2" t="s">
        <v>32</v>
      </c>
      <c r="D110" s="2" t="s">
        <v>26</v>
      </c>
      <c r="E110" s="3">
        <v>46190</v>
      </c>
      <c r="F110" s="3">
        <v>46192</v>
      </c>
      <c r="G110" s="3">
        <v>46191</v>
      </c>
      <c r="H110" s="2" t="s">
        <v>14</v>
      </c>
      <c r="I110" s="2">
        <f t="shared" si="3"/>
        <v>-1</v>
      </c>
      <c r="J110" s="2" t="str">
        <f t="shared" si="4"/>
        <v>On Time</v>
      </c>
    </row>
    <row r="111" spans="1:10" x14ac:dyDescent="0.3">
      <c r="A111" s="2" t="s">
        <v>159</v>
      </c>
      <c r="B111" s="2" t="s">
        <v>42</v>
      </c>
      <c r="C111" s="2" t="s">
        <v>38</v>
      </c>
      <c r="D111" s="2" t="s">
        <v>26</v>
      </c>
      <c r="E111" s="3">
        <v>46183</v>
      </c>
      <c r="F111" s="3">
        <v>46186</v>
      </c>
      <c r="G111" s="3">
        <v>46185</v>
      </c>
      <c r="H111" s="2" t="s">
        <v>14</v>
      </c>
      <c r="I111" s="2">
        <f t="shared" si="3"/>
        <v>-1</v>
      </c>
      <c r="J111" s="2" t="str">
        <f t="shared" si="4"/>
        <v>On Time</v>
      </c>
    </row>
    <row r="112" spans="1:10" x14ac:dyDescent="0.3">
      <c r="A112" s="2" t="s">
        <v>160</v>
      </c>
      <c r="B112" s="2" t="s">
        <v>57</v>
      </c>
      <c r="C112" s="2" t="s">
        <v>12</v>
      </c>
      <c r="D112" s="2" t="s">
        <v>26</v>
      </c>
      <c r="E112" s="3">
        <v>46202</v>
      </c>
      <c r="F112" s="3">
        <v>46204</v>
      </c>
      <c r="G112" s="3">
        <v>46210</v>
      </c>
      <c r="H112" s="2" t="s">
        <v>19</v>
      </c>
      <c r="I112" s="2">
        <f t="shared" si="3"/>
        <v>6</v>
      </c>
      <c r="J112" s="2" t="str">
        <f t="shared" si="4"/>
        <v>Delayed</v>
      </c>
    </row>
    <row r="113" spans="1:10" x14ac:dyDescent="0.3">
      <c r="A113" s="2" t="s">
        <v>161</v>
      </c>
      <c r="B113" s="2" t="s">
        <v>116</v>
      </c>
      <c r="C113" s="2" t="s">
        <v>38</v>
      </c>
      <c r="D113" s="2" t="s">
        <v>26</v>
      </c>
      <c r="E113" s="3">
        <v>46244</v>
      </c>
      <c r="F113" s="3">
        <v>46246</v>
      </c>
      <c r="G113" s="3">
        <v>46248</v>
      </c>
      <c r="H113" s="2" t="s">
        <v>52</v>
      </c>
      <c r="I113" s="2">
        <f t="shared" si="3"/>
        <v>2</v>
      </c>
      <c r="J113" s="2" t="str">
        <f t="shared" si="4"/>
        <v>Delayed</v>
      </c>
    </row>
    <row r="114" spans="1:10" x14ac:dyDescent="0.3">
      <c r="A114" s="2" t="s">
        <v>162</v>
      </c>
      <c r="B114" s="2" t="s">
        <v>42</v>
      </c>
      <c r="C114" s="2" t="s">
        <v>17</v>
      </c>
      <c r="D114" s="2" t="s">
        <v>18</v>
      </c>
      <c r="E114" s="3">
        <v>46212</v>
      </c>
      <c r="F114" s="3">
        <v>46214</v>
      </c>
      <c r="G114" s="3">
        <v>46213</v>
      </c>
      <c r="H114" s="2" t="s">
        <v>14</v>
      </c>
      <c r="I114" s="2">
        <f t="shared" si="3"/>
        <v>-1</v>
      </c>
      <c r="J114" s="2" t="str">
        <f t="shared" si="4"/>
        <v>On Time</v>
      </c>
    </row>
    <row r="115" spans="1:10" x14ac:dyDescent="0.3">
      <c r="A115" s="2" t="s">
        <v>163</v>
      </c>
      <c r="B115" s="2" t="s">
        <v>45</v>
      </c>
      <c r="C115" s="2" t="s">
        <v>17</v>
      </c>
      <c r="D115" s="2" t="s">
        <v>26</v>
      </c>
      <c r="E115" s="3">
        <v>46183</v>
      </c>
      <c r="F115" s="3">
        <v>46186</v>
      </c>
      <c r="G115" s="3">
        <v>46186</v>
      </c>
      <c r="H115" s="2" t="s">
        <v>14</v>
      </c>
      <c r="I115" s="2">
        <f t="shared" si="3"/>
        <v>0</v>
      </c>
      <c r="J115" s="2" t="str">
        <f t="shared" si="4"/>
        <v>On Time</v>
      </c>
    </row>
    <row r="116" spans="1:10" x14ac:dyDescent="0.3">
      <c r="A116" s="2" t="s">
        <v>164</v>
      </c>
      <c r="B116" s="2" t="s">
        <v>128</v>
      </c>
      <c r="C116" s="2" t="s">
        <v>32</v>
      </c>
      <c r="D116" s="2" t="s">
        <v>26</v>
      </c>
      <c r="E116" s="3">
        <v>46174</v>
      </c>
      <c r="F116" s="3">
        <v>46176</v>
      </c>
      <c r="G116" s="3">
        <v>46175</v>
      </c>
      <c r="H116" s="2" t="s">
        <v>14</v>
      </c>
      <c r="I116" s="2">
        <f t="shared" si="3"/>
        <v>-1</v>
      </c>
      <c r="J116" s="2" t="str">
        <f t="shared" si="4"/>
        <v>On Time</v>
      </c>
    </row>
    <row r="117" spans="1:10" x14ac:dyDescent="0.3">
      <c r="A117" s="2" t="s">
        <v>165</v>
      </c>
      <c r="B117" s="2" t="s">
        <v>77</v>
      </c>
      <c r="C117" s="2" t="s">
        <v>32</v>
      </c>
      <c r="D117" s="2" t="s">
        <v>18</v>
      </c>
      <c r="E117" s="3">
        <v>46205</v>
      </c>
      <c r="F117" s="3">
        <v>46208</v>
      </c>
      <c r="G117" s="3">
        <v>46208</v>
      </c>
      <c r="H117" s="2" t="s">
        <v>14</v>
      </c>
      <c r="I117" s="2">
        <f t="shared" si="3"/>
        <v>0</v>
      </c>
      <c r="J117" s="2" t="str">
        <f t="shared" si="4"/>
        <v>On Time</v>
      </c>
    </row>
    <row r="118" spans="1:10" x14ac:dyDescent="0.3">
      <c r="A118" s="2" t="s">
        <v>166</v>
      </c>
      <c r="B118" s="2" t="s">
        <v>54</v>
      </c>
      <c r="C118" s="2" t="s">
        <v>38</v>
      </c>
      <c r="D118" s="2" t="s">
        <v>18</v>
      </c>
      <c r="E118" s="3">
        <v>46213</v>
      </c>
      <c r="F118" s="3">
        <v>46215</v>
      </c>
      <c r="G118" s="3">
        <v>46219</v>
      </c>
      <c r="H118" s="2" t="s">
        <v>29</v>
      </c>
      <c r="I118" s="2">
        <f t="shared" si="3"/>
        <v>4</v>
      </c>
      <c r="J118" s="2" t="str">
        <f t="shared" si="4"/>
        <v>Delayed</v>
      </c>
    </row>
    <row r="119" spans="1:10" x14ac:dyDescent="0.3">
      <c r="A119" s="2" t="s">
        <v>167</v>
      </c>
      <c r="B119" s="2" t="s">
        <v>61</v>
      </c>
      <c r="C119" s="2" t="s">
        <v>32</v>
      </c>
      <c r="D119" s="2" t="s">
        <v>26</v>
      </c>
      <c r="E119" s="3">
        <v>46228</v>
      </c>
      <c r="F119" s="3">
        <v>46231</v>
      </c>
      <c r="G119" s="3">
        <v>46231</v>
      </c>
      <c r="H119" s="2" t="s">
        <v>14</v>
      </c>
      <c r="I119" s="2">
        <f t="shared" si="3"/>
        <v>0</v>
      </c>
      <c r="J119" s="2" t="str">
        <f t="shared" si="4"/>
        <v>On Time</v>
      </c>
    </row>
    <row r="120" spans="1:10" x14ac:dyDescent="0.3">
      <c r="A120" s="2" t="s">
        <v>168</v>
      </c>
      <c r="B120" s="2" t="s">
        <v>45</v>
      </c>
      <c r="C120" s="2" t="s">
        <v>32</v>
      </c>
      <c r="D120" s="2" t="s">
        <v>18</v>
      </c>
      <c r="E120" s="3">
        <v>46227</v>
      </c>
      <c r="F120" s="3">
        <v>46230</v>
      </c>
      <c r="G120" s="3">
        <v>46230</v>
      </c>
      <c r="H120" s="2" t="s">
        <v>14</v>
      </c>
      <c r="I120" s="2">
        <f t="shared" si="3"/>
        <v>0</v>
      </c>
      <c r="J120" s="2" t="str">
        <f t="shared" si="4"/>
        <v>On Time</v>
      </c>
    </row>
    <row r="121" spans="1:10" x14ac:dyDescent="0.3">
      <c r="A121" s="2" t="s">
        <v>169</v>
      </c>
      <c r="B121" s="2" t="s">
        <v>54</v>
      </c>
      <c r="C121" s="2" t="s">
        <v>32</v>
      </c>
      <c r="D121" s="2" t="s">
        <v>18</v>
      </c>
      <c r="E121" s="3">
        <v>46238</v>
      </c>
      <c r="F121" s="3">
        <v>46240</v>
      </c>
      <c r="G121" s="3">
        <v>46240</v>
      </c>
      <c r="H121" s="2" t="s">
        <v>14</v>
      </c>
      <c r="I121" s="2">
        <f t="shared" si="3"/>
        <v>0</v>
      </c>
      <c r="J121" s="2" t="str">
        <f t="shared" si="4"/>
        <v>On Time</v>
      </c>
    </row>
    <row r="122" spans="1:10" x14ac:dyDescent="0.3">
      <c r="A122" s="2" t="s">
        <v>170</v>
      </c>
      <c r="B122" s="2" t="s">
        <v>142</v>
      </c>
      <c r="C122" s="2" t="s">
        <v>12</v>
      </c>
      <c r="D122" s="2" t="s">
        <v>26</v>
      </c>
      <c r="E122" s="3">
        <v>46233</v>
      </c>
      <c r="F122" s="3">
        <v>46235</v>
      </c>
      <c r="G122" s="3">
        <v>46234</v>
      </c>
      <c r="H122" s="2" t="s">
        <v>14</v>
      </c>
      <c r="I122" s="2">
        <f t="shared" si="3"/>
        <v>-1</v>
      </c>
      <c r="J122" s="2" t="str">
        <f t="shared" si="4"/>
        <v>On Time</v>
      </c>
    </row>
    <row r="123" spans="1:10" x14ac:dyDescent="0.3">
      <c r="A123" s="2" t="s">
        <v>171</v>
      </c>
      <c r="B123" s="2" t="s">
        <v>28</v>
      </c>
      <c r="C123" s="2" t="s">
        <v>38</v>
      </c>
      <c r="D123" s="2" t="s">
        <v>18</v>
      </c>
      <c r="E123" s="3">
        <v>46197</v>
      </c>
      <c r="F123" s="3">
        <v>46199</v>
      </c>
      <c r="G123" s="3">
        <v>46199</v>
      </c>
      <c r="H123" s="2" t="s">
        <v>14</v>
      </c>
      <c r="I123" s="2">
        <f t="shared" si="3"/>
        <v>0</v>
      </c>
      <c r="J123" s="2" t="str">
        <f t="shared" si="4"/>
        <v>On Time</v>
      </c>
    </row>
    <row r="124" spans="1:10" x14ac:dyDescent="0.3">
      <c r="A124" s="2" t="s">
        <v>172</v>
      </c>
      <c r="B124" s="2" t="s">
        <v>63</v>
      </c>
      <c r="C124" s="2" t="s">
        <v>12</v>
      </c>
      <c r="D124" s="2" t="s">
        <v>13</v>
      </c>
      <c r="E124" s="3">
        <v>46180</v>
      </c>
      <c r="F124" s="3">
        <v>46182</v>
      </c>
      <c r="G124" s="3">
        <v>46187</v>
      </c>
      <c r="H124" s="2" t="s">
        <v>52</v>
      </c>
      <c r="I124" s="2">
        <f t="shared" si="3"/>
        <v>5</v>
      </c>
      <c r="J124" s="2" t="str">
        <f t="shared" si="4"/>
        <v>Delayed</v>
      </c>
    </row>
    <row r="125" spans="1:10" x14ac:dyDescent="0.3">
      <c r="A125" s="2" t="s">
        <v>173</v>
      </c>
      <c r="B125" s="2" t="s">
        <v>106</v>
      </c>
      <c r="C125" s="2" t="s">
        <v>17</v>
      </c>
      <c r="D125" s="2" t="s">
        <v>18</v>
      </c>
      <c r="E125" s="3">
        <v>46181</v>
      </c>
      <c r="F125" s="3">
        <v>46183</v>
      </c>
      <c r="G125" s="3">
        <v>46182</v>
      </c>
      <c r="H125" s="2" t="s">
        <v>14</v>
      </c>
      <c r="I125" s="2">
        <f t="shared" si="3"/>
        <v>-1</v>
      </c>
      <c r="J125" s="2" t="str">
        <f t="shared" si="4"/>
        <v>On Time</v>
      </c>
    </row>
    <row r="126" spans="1:10" x14ac:dyDescent="0.3">
      <c r="A126" s="2" t="s">
        <v>174</v>
      </c>
      <c r="B126" s="2" t="s">
        <v>49</v>
      </c>
      <c r="C126" s="2" t="s">
        <v>17</v>
      </c>
      <c r="D126" s="2" t="s">
        <v>26</v>
      </c>
      <c r="E126" s="3">
        <v>46195</v>
      </c>
      <c r="F126" s="3">
        <v>46198</v>
      </c>
      <c r="G126" s="3">
        <v>46204</v>
      </c>
      <c r="H126" s="2" t="s">
        <v>29</v>
      </c>
      <c r="I126" s="2">
        <f t="shared" si="3"/>
        <v>6</v>
      </c>
      <c r="J126" s="2" t="str">
        <f t="shared" si="4"/>
        <v>Delayed</v>
      </c>
    </row>
    <row r="127" spans="1:10" x14ac:dyDescent="0.3">
      <c r="A127" s="2" t="s">
        <v>175</v>
      </c>
      <c r="B127" s="2" t="s">
        <v>40</v>
      </c>
      <c r="C127" s="2" t="s">
        <v>32</v>
      </c>
      <c r="D127" s="2" t="s">
        <v>18</v>
      </c>
      <c r="E127" s="3">
        <v>46222</v>
      </c>
      <c r="F127" s="3">
        <v>46225</v>
      </c>
      <c r="G127" s="3">
        <v>46224</v>
      </c>
      <c r="H127" s="2" t="s">
        <v>14</v>
      </c>
      <c r="I127" s="2">
        <f t="shared" si="3"/>
        <v>-1</v>
      </c>
      <c r="J127" s="2" t="str">
        <f t="shared" si="4"/>
        <v>On Time</v>
      </c>
    </row>
    <row r="128" spans="1:10" x14ac:dyDescent="0.3">
      <c r="A128" s="2" t="s">
        <v>176</v>
      </c>
      <c r="B128" s="2" t="s">
        <v>47</v>
      </c>
      <c r="C128" s="2" t="s">
        <v>17</v>
      </c>
      <c r="D128" s="2" t="s">
        <v>26</v>
      </c>
      <c r="E128" s="3">
        <v>46184</v>
      </c>
      <c r="F128" s="3">
        <v>46187</v>
      </c>
      <c r="G128" s="3">
        <v>46191</v>
      </c>
      <c r="H128" s="2" t="s">
        <v>19</v>
      </c>
      <c r="I128" s="2">
        <f t="shared" si="3"/>
        <v>4</v>
      </c>
      <c r="J128" s="2" t="str">
        <f t="shared" si="4"/>
        <v>Delayed</v>
      </c>
    </row>
    <row r="129" spans="1:10" x14ac:dyDescent="0.3">
      <c r="A129" s="2" t="s">
        <v>177</v>
      </c>
      <c r="B129" s="2" t="s">
        <v>24</v>
      </c>
      <c r="C129" s="2" t="s">
        <v>12</v>
      </c>
      <c r="D129" s="2" t="s">
        <v>13</v>
      </c>
      <c r="E129" s="3">
        <v>46219</v>
      </c>
      <c r="F129" s="3">
        <v>46222</v>
      </c>
      <c r="G129" s="3">
        <v>46221</v>
      </c>
      <c r="H129" s="2" t="s">
        <v>14</v>
      </c>
      <c r="I129" s="2">
        <f t="shared" si="3"/>
        <v>-1</v>
      </c>
      <c r="J129" s="2" t="str">
        <f t="shared" si="4"/>
        <v>On Time</v>
      </c>
    </row>
    <row r="130" spans="1:10" x14ac:dyDescent="0.3">
      <c r="A130" s="2" t="s">
        <v>178</v>
      </c>
      <c r="B130" s="2" t="s">
        <v>61</v>
      </c>
      <c r="C130" s="2" t="s">
        <v>17</v>
      </c>
      <c r="D130" s="2" t="s">
        <v>18</v>
      </c>
      <c r="E130" s="3">
        <v>46234</v>
      </c>
      <c r="F130" s="3">
        <v>46236</v>
      </c>
      <c r="G130" s="3">
        <v>46235</v>
      </c>
      <c r="H130" s="2" t="s">
        <v>14</v>
      </c>
      <c r="I130" s="2">
        <f t="shared" ref="I130:I151" si="5">G130-F130</f>
        <v>-1</v>
      </c>
      <c r="J130" s="2" t="str">
        <f t="shared" ref="J130:J151" si="6">IF(I130&gt;0,"Delayed","On Time")</f>
        <v>On Time</v>
      </c>
    </row>
    <row r="131" spans="1:10" x14ac:dyDescent="0.3">
      <c r="A131" s="2" t="s">
        <v>179</v>
      </c>
      <c r="B131" s="2" t="s">
        <v>75</v>
      </c>
      <c r="C131" s="2" t="s">
        <v>32</v>
      </c>
      <c r="D131" s="2" t="s">
        <v>13</v>
      </c>
      <c r="E131" s="3">
        <v>46234</v>
      </c>
      <c r="F131" s="3">
        <v>46236</v>
      </c>
      <c r="G131" s="3">
        <v>46236</v>
      </c>
      <c r="H131" s="2" t="s">
        <v>14</v>
      </c>
      <c r="I131" s="2">
        <f t="shared" si="5"/>
        <v>0</v>
      </c>
      <c r="J131" s="2" t="str">
        <f t="shared" si="6"/>
        <v>On Time</v>
      </c>
    </row>
    <row r="132" spans="1:10" x14ac:dyDescent="0.3">
      <c r="A132" s="2" t="s">
        <v>180</v>
      </c>
      <c r="B132" s="2" t="s">
        <v>34</v>
      </c>
      <c r="C132" s="2" t="s">
        <v>38</v>
      </c>
      <c r="D132" s="2" t="s">
        <v>26</v>
      </c>
      <c r="E132" s="3">
        <v>46222</v>
      </c>
      <c r="F132" s="3">
        <v>46224</v>
      </c>
      <c r="G132" s="3">
        <v>46224</v>
      </c>
      <c r="H132" s="2" t="s">
        <v>14</v>
      </c>
      <c r="I132" s="2">
        <f t="shared" si="5"/>
        <v>0</v>
      </c>
      <c r="J132" s="2" t="str">
        <f t="shared" si="6"/>
        <v>On Time</v>
      </c>
    </row>
    <row r="133" spans="1:10" x14ac:dyDescent="0.3">
      <c r="A133" s="2" t="s">
        <v>181</v>
      </c>
      <c r="B133" s="2" t="s">
        <v>77</v>
      </c>
      <c r="C133" s="2" t="s">
        <v>12</v>
      </c>
      <c r="D133" s="2" t="s">
        <v>18</v>
      </c>
      <c r="E133" s="3">
        <v>46182</v>
      </c>
      <c r="F133" s="3">
        <v>46186</v>
      </c>
      <c r="G133" s="3">
        <v>46185</v>
      </c>
      <c r="H133" s="2" t="s">
        <v>14</v>
      </c>
      <c r="I133" s="2">
        <f t="shared" si="5"/>
        <v>-1</v>
      </c>
      <c r="J133" s="2" t="str">
        <f t="shared" si="6"/>
        <v>On Time</v>
      </c>
    </row>
    <row r="134" spans="1:10" x14ac:dyDescent="0.3">
      <c r="A134" s="2" t="s">
        <v>182</v>
      </c>
      <c r="B134" s="2" t="s">
        <v>11</v>
      </c>
      <c r="C134" s="2" t="s">
        <v>17</v>
      </c>
      <c r="D134" s="2" t="s">
        <v>13</v>
      </c>
      <c r="E134" s="3">
        <v>46214</v>
      </c>
      <c r="F134" s="3">
        <v>46217</v>
      </c>
      <c r="G134" s="3">
        <v>46223</v>
      </c>
      <c r="H134" s="2" t="s">
        <v>19</v>
      </c>
      <c r="I134" s="2">
        <f t="shared" si="5"/>
        <v>6</v>
      </c>
      <c r="J134" s="2" t="str">
        <f t="shared" si="6"/>
        <v>Delayed</v>
      </c>
    </row>
    <row r="135" spans="1:10" x14ac:dyDescent="0.3">
      <c r="A135" s="2" t="s">
        <v>183</v>
      </c>
      <c r="B135" s="2" t="s">
        <v>54</v>
      </c>
      <c r="C135" s="2" t="s">
        <v>12</v>
      </c>
      <c r="D135" s="2" t="s">
        <v>26</v>
      </c>
      <c r="E135" s="3">
        <v>46234</v>
      </c>
      <c r="F135" s="3">
        <v>46238</v>
      </c>
      <c r="G135" s="3">
        <v>46237</v>
      </c>
      <c r="H135" s="2" t="s">
        <v>14</v>
      </c>
      <c r="I135" s="2">
        <f t="shared" si="5"/>
        <v>-1</v>
      </c>
      <c r="J135" s="2" t="str">
        <f t="shared" si="6"/>
        <v>On Time</v>
      </c>
    </row>
    <row r="136" spans="1:10" x14ac:dyDescent="0.3">
      <c r="A136" s="2" t="s">
        <v>184</v>
      </c>
      <c r="B136" s="2" t="s">
        <v>34</v>
      </c>
      <c r="C136" s="2" t="s">
        <v>32</v>
      </c>
      <c r="D136" s="2" t="s">
        <v>13</v>
      </c>
      <c r="E136" s="3">
        <v>46237</v>
      </c>
      <c r="F136" s="3">
        <v>46239</v>
      </c>
      <c r="G136" s="3">
        <v>46239</v>
      </c>
      <c r="H136" s="2" t="s">
        <v>14</v>
      </c>
      <c r="I136" s="2">
        <f t="shared" si="5"/>
        <v>0</v>
      </c>
      <c r="J136" s="2" t="str">
        <f t="shared" si="6"/>
        <v>On Time</v>
      </c>
    </row>
    <row r="137" spans="1:10" x14ac:dyDescent="0.3">
      <c r="A137" s="2" t="s">
        <v>185</v>
      </c>
      <c r="B137" s="2" t="s">
        <v>54</v>
      </c>
      <c r="C137" s="2" t="s">
        <v>32</v>
      </c>
      <c r="D137" s="2" t="s">
        <v>18</v>
      </c>
      <c r="E137" s="3">
        <v>46193</v>
      </c>
      <c r="F137" s="3">
        <v>46197</v>
      </c>
      <c r="G137" s="3">
        <v>46196</v>
      </c>
      <c r="H137" s="2" t="s">
        <v>14</v>
      </c>
      <c r="I137" s="2">
        <f t="shared" si="5"/>
        <v>-1</v>
      </c>
      <c r="J137" s="2" t="str">
        <f t="shared" si="6"/>
        <v>On Time</v>
      </c>
    </row>
    <row r="138" spans="1:10" x14ac:dyDescent="0.3">
      <c r="A138" s="2" t="s">
        <v>186</v>
      </c>
      <c r="B138" s="2" t="s">
        <v>57</v>
      </c>
      <c r="C138" s="2" t="s">
        <v>32</v>
      </c>
      <c r="D138" s="2" t="s">
        <v>18</v>
      </c>
      <c r="E138" s="3">
        <v>46184</v>
      </c>
      <c r="F138" s="3">
        <v>46188</v>
      </c>
      <c r="G138" s="3">
        <v>46195</v>
      </c>
      <c r="H138" s="2" t="s">
        <v>52</v>
      </c>
      <c r="I138" s="2">
        <f t="shared" si="5"/>
        <v>7</v>
      </c>
      <c r="J138" s="2" t="str">
        <f t="shared" si="6"/>
        <v>Delayed</v>
      </c>
    </row>
    <row r="139" spans="1:10" x14ac:dyDescent="0.3">
      <c r="A139" s="2" t="s">
        <v>187</v>
      </c>
      <c r="B139" s="2" t="s">
        <v>21</v>
      </c>
      <c r="C139" s="2" t="s">
        <v>38</v>
      </c>
      <c r="D139" s="2" t="s">
        <v>26</v>
      </c>
      <c r="E139" s="3">
        <v>46178</v>
      </c>
      <c r="F139" s="3">
        <v>46181</v>
      </c>
      <c r="G139" s="3">
        <v>46180</v>
      </c>
      <c r="H139" s="2" t="s">
        <v>14</v>
      </c>
      <c r="I139" s="2">
        <f t="shared" si="5"/>
        <v>-1</v>
      </c>
      <c r="J139" s="2" t="str">
        <f t="shared" si="6"/>
        <v>On Time</v>
      </c>
    </row>
    <row r="140" spans="1:10" x14ac:dyDescent="0.3">
      <c r="A140" s="2" t="s">
        <v>188</v>
      </c>
      <c r="B140" s="2" t="s">
        <v>47</v>
      </c>
      <c r="C140" s="2" t="s">
        <v>38</v>
      </c>
      <c r="D140" s="2" t="s">
        <v>26</v>
      </c>
      <c r="E140" s="3">
        <v>46183</v>
      </c>
      <c r="F140" s="3">
        <v>46186</v>
      </c>
      <c r="G140" s="3">
        <v>46186</v>
      </c>
      <c r="H140" s="2" t="s">
        <v>14</v>
      </c>
      <c r="I140" s="2">
        <f t="shared" si="5"/>
        <v>0</v>
      </c>
      <c r="J140" s="2" t="str">
        <f t="shared" si="6"/>
        <v>On Time</v>
      </c>
    </row>
    <row r="141" spans="1:10" x14ac:dyDescent="0.3">
      <c r="A141" s="2" t="s">
        <v>189</v>
      </c>
      <c r="B141" s="2" t="s">
        <v>28</v>
      </c>
      <c r="C141" s="2" t="s">
        <v>38</v>
      </c>
      <c r="D141" s="2" t="s">
        <v>13</v>
      </c>
      <c r="E141" s="3">
        <v>46231</v>
      </c>
      <c r="F141" s="3">
        <v>46233</v>
      </c>
      <c r="G141" s="3">
        <v>46237</v>
      </c>
      <c r="H141" s="2" t="s">
        <v>29</v>
      </c>
      <c r="I141" s="2">
        <f t="shared" si="5"/>
        <v>4</v>
      </c>
      <c r="J141" s="2" t="str">
        <f t="shared" si="6"/>
        <v>Delayed</v>
      </c>
    </row>
    <row r="142" spans="1:10" x14ac:dyDescent="0.3">
      <c r="A142" s="2" t="s">
        <v>190</v>
      </c>
      <c r="B142" s="2" t="s">
        <v>63</v>
      </c>
      <c r="C142" s="2" t="s">
        <v>12</v>
      </c>
      <c r="D142" s="2" t="s">
        <v>18</v>
      </c>
      <c r="E142" s="3">
        <v>46242</v>
      </c>
      <c r="F142" s="3">
        <v>46246</v>
      </c>
      <c r="G142" s="3">
        <v>46245</v>
      </c>
      <c r="H142" s="2" t="s">
        <v>14</v>
      </c>
      <c r="I142" s="2">
        <f t="shared" si="5"/>
        <v>-1</v>
      </c>
      <c r="J142" s="2" t="str">
        <f t="shared" si="6"/>
        <v>On Time</v>
      </c>
    </row>
    <row r="143" spans="1:10" x14ac:dyDescent="0.3">
      <c r="A143" s="2" t="s">
        <v>191</v>
      </c>
      <c r="B143" s="2" t="s">
        <v>142</v>
      </c>
      <c r="C143" s="2" t="s">
        <v>32</v>
      </c>
      <c r="D143" s="2" t="s">
        <v>18</v>
      </c>
      <c r="E143" s="3">
        <v>46208</v>
      </c>
      <c r="F143" s="3">
        <v>46211</v>
      </c>
      <c r="G143" s="3">
        <v>46210</v>
      </c>
      <c r="H143" s="2" t="s">
        <v>14</v>
      </c>
      <c r="I143" s="2">
        <f t="shared" si="5"/>
        <v>-1</v>
      </c>
      <c r="J143" s="2" t="str">
        <f t="shared" si="6"/>
        <v>On Time</v>
      </c>
    </row>
    <row r="144" spans="1:10" x14ac:dyDescent="0.3">
      <c r="A144" s="2" t="s">
        <v>192</v>
      </c>
      <c r="B144" s="2" t="s">
        <v>75</v>
      </c>
      <c r="C144" s="2" t="s">
        <v>38</v>
      </c>
      <c r="D144" s="2" t="s">
        <v>26</v>
      </c>
      <c r="E144" s="3">
        <v>46197</v>
      </c>
      <c r="F144" s="3">
        <v>46199</v>
      </c>
      <c r="G144" s="3">
        <v>46202</v>
      </c>
      <c r="H144" s="2" t="s">
        <v>52</v>
      </c>
      <c r="I144" s="2">
        <f t="shared" si="5"/>
        <v>3</v>
      </c>
      <c r="J144" s="2" t="str">
        <f t="shared" si="6"/>
        <v>Delayed</v>
      </c>
    </row>
    <row r="145" spans="1:10" x14ac:dyDescent="0.3">
      <c r="A145" s="2" t="s">
        <v>193</v>
      </c>
      <c r="B145" s="2" t="s">
        <v>11</v>
      </c>
      <c r="C145" s="2" t="s">
        <v>17</v>
      </c>
      <c r="D145" s="2" t="s">
        <v>13</v>
      </c>
      <c r="E145" s="3">
        <v>46206</v>
      </c>
      <c r="F145" s="3">
        <v>46208</v>
      </c>
      <c r="G145" s="3">
        <v>46208</v>
      </c>
      <c r="H145" s="2" t="s">
        <v>14</v>
      </c>
      <c r="I145" s="2">
        <f t="shared" si="5"/>
        <v>0</v>
      </c>
      <c r="J145" s="2" t="str">
        <f t="shared" si="6"/>
        <v>On Time</v>
      </c>
    </row>
    <row r="146" spans="1:10" x14ac:dyDescent="0.3">
      <c r="A146" s="2" t="s">
        <v>194</v>
      </c>
      <c r="B146" s="2" t="s">
        <v>73</v>
      </c>
      <c r="C146" s="2" t="s">
        <v>17</v>
      </c>
      <c r="D146" s="2" t="s">
        <v>18</v>
      </c>
      <c r="E146" s="3">
        <v>46233</v>
      </c>
      <c r="F146" s="3">
        <v>46235</v>
      </c>
      <c r="G146" s="3">
        <v>46239</v>
      </c>
      <c r="H146" s="2" t="s">
        <v>52</v>
      </c>
      <c r="I146" s="2">
        <f t="shared" si="5"/>
        <v>4</v>
      </c>
      <c r="J146" s="2" t="str">
        <f t="shared" si="6"/>
        <v>Delayed</v>
      </c>
    </row>
    <row r="147" spans="1:10" x14ac:dyDescent="0.3">
      <c r="A147" s="2" t="s">
        <v>195</v>
      </c>
      <c r="B147" s="2" t="s">
        <v>116</v>
      </c>
      <c r="C147" s="2" t="s">
        <v>38</v>
      </c>
      <c r="D147" s="2" t="s">
        <v>13</v>
      </c>
      <c r="E147" s="3">
        <v>46179</v>
      </c>
      <c r="F147" s="3">
        <v>46182</v>
      </c>
      <c r="G147" s="3">
        <v>46183</v>
      </c>
      <c r="H147" s="2" t="s">
        <v>52</v>
      </c>
      <c r="I147" s="2">
        <f t="shared" si="5"/>
        <v>1</v>
      </c>
      <c r="J147" s="2" t="str">
        <f t="shared" si="6"/>
        <v>Delayed</v>
      </c>
    </row>
    <row r="148" spans="1:10" x14ac:dyDescent="0.3">
      <c r="A148" s="2" t="s">
        <v>196</v>
      </c>
      <c r="B148" s="2" t="s">
        <v>63</v>
      </c>
      <c r="C148" s="2" t="s">
        <v>12</v>
      </c>
      <c r="D148" s="2" t="s">
        <v>26</v>
      </c>
      <c r="E148" s="3">
        <v>46221</v>
      </c>
      <c r="F148" s="3">
        <v>46225</v>
      </c>
      <c r="G148" s="3">
        <v>46224</v>
      </c>
      <c r="H148" s="2" t="s">
        <v>14</v>
      </c>
      <c r="I148" s="2">
        <f t="shared" si="5"/>
        <v>-1</v>
      </c>
      <c r="J148" s="2" t="str">
        <f t="shared" si="6"/>
        <v>On Time</v>
      </c>
    </row>
    <row r="149" spans="1:10" x14ac:dyDescent="0.3">
      <c r="A149" s="2" t="s">
        <v>197</v>
      </c>
      <c r="B149" s="2" t="s">
        <v>63</v>
      </c>
      <c r="C149" s="2" t="s">
        <v>32</v>
      </c>
      <c r="D149" s="2" t="s">
        <v>18</v>
      </c>
      <c r="E149" s="3">
        <v>46174</v>
      </c>
      <c r="F149" s="3">
        <v>46176</v>
      </c>
      <c r="G149" s="3">
        <v>46175</v>
      </c>
      <c r="H149" s="2" t="s">
        <v>14</v>
      </c>
      <c r="I149" s="2">
        <f t="shared" si="5"/>
        <v>-1</v>
      </c>
      <c r="J149" s="2" t="str">
        <f t="shared" si="6"/>
        <v>On Time</v>
      </c>
    </row>
    <row r="150" spans="1:10" x14ac:dyDescent="0.3">
      <c r="A150" s="2" t="s">
        <v>198</v>
      </c>
      <c r="B150" s="2" t="s">
        <v>75</v>
      </c>
      <c r="C150" s="2" t="s">
        <v>17</v>
      </c>
      <c r="D150" s="2" t="s">
        <v>13</v>
      </c>
      <c r="E150" s="3">
        <v>46217</v>
      </c>
      <c r="F150" s="3">
        <v>46219</v>
      </c>
      <c r="G150" s="3">
        <v>46222</v>
      </c>
      <c r="H150" s="2" t="s">
        <v>19</v>
      </c>
      <c r="I150" s="2">
        <f t="shared" si="5"/>
        <v>3</v>
      </c>
      <c r="J150" s="2" t="str">
        <f t="shared" si="6"/>
        <v>Delayed</v>
      </c>
    </row>
    <row r="151" spans="1:10" x14ac:dyDescent="0.3">
      <c r="A151" s="2" t="s">
        <v>199</v>
      </c>
      <c r="B151" s="2" t="s">
        <v>63</v>
      </c>
      <c r="C151" s="2" t="s">
        <v>12</v>
      </c>
      <c r="D151" s="2" t="s">
        <v>26</v>
      </c>
      <c r="E151" s="3">
        <v>46215</v>
      </c>
      <c r="F151" s="3">
        <v>46218</v>
      </c>
      <c r="G151" s="3">
        <v>46218</v>
      </c>
      <c r="H151" s="2" t="s">
        <v>14</v>
      </c>
      <c r="I151" s="2">
        <f t="shared" si="5"/>
        <v>0</v>
      </c>
      <c r="J151" s="2" t="str">
        <f t="shared" si="6"/>
        <v>On Time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D3277-287C-4292-8252-2A0F91333E45}">
  <dimension ref="B3:G7"/>
  <sheetViews>
    <sheetView workbookViewId="0">
      <selection activeCell="B3" sqref="B3:G7"/>
    </sheetView>
  </sheetViews>
  <sheetFormatPr defaultRowHeight="14.4" x14ac:dyDescent="0.3"/>
  <cols>
    <col min="2" max="2" width="8.77734375" customWidth="1"/>
    <col min="3" max="3" width="11.44140625" customWidth="1"/>
    <col min="4" max="4" width="15" customWidth="1"/>
    <col min="5" max="5" width="14.44140625" customWidth="1"/>
    <col min="6" max="6" width="14.109375" customWidth="1"/>
    <col min="7" max="7" width="19" customWidth="1"/>
  </cols>
  <sheetData>
    <row r="3" spans="2:7" x14ac:dyDescent="0.3">
      <c r="B3" s="4" t="s">
        <v>2</v>
      </c>
      <c r="C3" s="4" t="s">
        <v>203</v>
      </c>
      <c r="D3" s="4" t="s">
        <v>204</v>
      </c>
      <c r="E3" s="4" t="s">
        <v>200</v>
      </c>
      <c r="F3" s="4" t="s">
        <v>201</v>
      </c>
      <c r="G3" s="4" t="s">
        <v>202</v>
      </c>
    </row>
    <row r="4" spans="2:7" x14ac:dyDescent="0.3">
      <c r="B4" s="4" t="s">
        <v>17</v>
      </c>
      <c r="C4">
        <f>COUNTIFS('Raw Data'!C:C,B4)</f>
        <v>40</v>
      </c>
      <c r="D4">
        <f>COUNTIFS('Raw Data'!C:C,B4,'Raw Data'!J:J,"Delayed")</f>
        <v>17</v>
      </c>
      <c r="E4">
        <f>(C4-D4)/C4</f>
        <v>0.57499999999999996</v>
      </c>
      <c r="F4">
        <f>IFERROR(AVERAGEIFS('Raw Data'!I:I,'Raw Data'!C:C,B4,'Raw Data'!J:J,"Delayed"),0)</f>
        <v>3.5882352941176472</v>
      </c>
      <c r="G4" s="5" t="str">
        <f>IF(D4/C4&gt;0.3,"Repeat Offender","OK")</f>
        <v>Repeat Offender</v>
      </c>
    </row>
    <row r="5" spans="2:7" x14ac:dyDescent="0.3">
      <c r="B5" s="4" t="s">
        <v>12</v>
      </c>
      <c r="C5">
        <f>COUNTIFS('Raw Data'!C:C,B5)</f>
        <v>40</v>
      </c>
      <c r="D5">
        <f>COUNTIFS('Raw Data'!C:C,B5,'Raw Data'!J:J,"Delayed")</f>
        <v>9</v>
      </c>
      <c r="E5">
        <f t="shared" ref="E5:E7" si="0">(C5-D5)/C5</f>
        <v>0.77500000000000002</v>
      </c>
      <c r="F5">
        <f>IFERROR(AVERAGEIFS('Raw Data'!I:I,'Raw Data'!C:C,B5,'Raw Data'!J:J,"Delayed"),0)</f>
        <v>4.2222222222222223</v>
      </c>
      <c r="G5" t="str">
        <f t="shared" ref="G5:G7" si="1">IF(D5/C5&gt;0.3,"Repeat Offender","OK")</f>
        <v>OK</v>
      </c>
    </row>
    <row r="6" spans="2:7" x14ac:dyDescent="0.3">
      <c r="B6" s="4" t="s">
        <v>32</v>
      </c>
      <c r="C6">
        <f>COUNTIFS('Raw Data'!C:C,B6)</f>
        <v>36</v>
      </c>
      <c r="D6">
        <f>COUNTIFS('Raw Data'!C:C,B6,'Raw Data'!J:J,"Delayed")</f>
        <v>6</v>
      </c>
      <c r="E6">
        <f t="shared" si="0"/>
        <v>0.83333333333333337</v>
      </c>
      <c r="F6">
        <f>IFERROR(AVERAGEIFS('Raw Data'!I:I,'Raw Data'!C:C,B6,'Raw Data'!J:J,"Delayed"),0)</f>
        <v>3.1666666666666665</v>
      </c>
      <c r="G6" t="str">
        <f t="shared" si="1"/>
        <v>OK</v>
      </c>
    </row>
    <row r="7" spans="2:7" x14ac:dyDescent="0.3">
      <c r="B7" s="4" t="s">
        <v>38</v>
      </c>
      <c r="C7">
        <f>COUNTIFS('Raw Data'!C:C,B7)</f>
        <v>34</v>
      </c>
      <c r="D7">
        <f>COUNTIFS('Raw Data'!C:C,B7,'Raw Data'!J:J,"Delayed")</f>
        <v>15</v>
      </c>
      <c r="E7">
        <f t="shared" si="0"/>
        <v>0.55882352941176472</v>
      </c>
      <c r="F7">
        <f>IFERROR(AVERAGEIFS('Raw Data'!I:I,'Raw Data'!C:C,B7,'Raw Data'!J:J,"Delayed"),0)</f>
        <v>3.1333333333333333</v>
      </c>
      <c r="G7" s="5" t="str">
        <f t="shared" si="1"/>
        <v>Repeat Offender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Sheet3</vt:lpstr>
      <vt:lpstr>Sheet5</vt:lpstr>
      <vt:lpstr>Raw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Bipasha Awghad</cp:lastModifiedBy>
  <cp:revision>0</cp:revision>
  <cp:lastPrinted>2026-09-13T10:43:25Z</cp:lastPrinted>
  <dcterms:created xsi:type="dcterms:W3CDTF">2026-09-13T08:27:00Z</dcterms:created>
  <dcterms:modified xsi:type="dcterms:W3CDTF">2026-09-13T10:55:32Z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D481D98CFE2E43A6A64747C3F976FEFF_12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